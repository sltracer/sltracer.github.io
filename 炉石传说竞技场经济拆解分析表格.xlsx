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eal_Desktop\工作\作品\拆解分析\炉石传说\竞技场经济\"/>
    </mc:Choice>
  </mc:AlternateContent>
  <xr:revisionPtr revIDLastSave="0" documentId="13_ncr:1_{0FEA4655-FD8E-4AC0-AAB3-FEDB18F933CE}" xr6:coauthVersionLast="47" xr6:coauthVersionMax="47" xr10:uidLastSave="{00000000-0000-0000-0000-000000000000}"/>
  <bookViews>
    <workbookView xWindow="-98" yWindow="-98" windowWidth="21795" windowHeight="12975" tabRatio="952" xr2:uid="{00000000-000D-0000-FFFF-FFFF00000000}"/>
  </bookViews>
  <sheets>
    <sheet name="奥术之尘模型" sheetId="16" r:id="rId1"/>
    <sheet name="胜率收益率与金回收率总" sheetId="15" r:id="rId2"/>
    <sheet name="金币回收率总" sheetId="11" state="hidden" r:id="rId3"/>
    <sheet name="收益率与金回收率分" sheetId="14" r:id="rId4"/>
    <sheet name="金币回收率分" sheetId="8" state="hidden" r:id="rId5"/>
    <sheet name="胜率期望大奖" sheetId="13" r:id="rId6"/>
    <sheet name="地下竞技场33.0" sheetId="1" r:id="rId7"/>
    <sheet name="地下竞技场32.4" sheetId="6" r:id="rId8"/>
    <sheet name="经典竞技场" sheetId="5" r:id="rId9"/>
    <sheet name="英雄乱斗" sheetId="10" r:id="rId10"/>
    <sheet name="分布50%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M16" i="1"/>
  <c r="K16" i="1"/>
  <c r="J16" i="1"/>
  <c r="I16" i="1"/>
  <c r="E16" i="1"/>
  <c r="C16" i="1"/>
  <c r="B16" i="1"/>
  <c r="P15" i="1"/>
  <c r="P16" i="1" s="1"/>
  <c r="O15" i="1"/>
  <c r="O16" i="1" s="1"/>
  <c r="N15" i="1"/>
  <c r="N16" i="1" s="1"/>
  <c r="M15" i="1"/>
  <c r="L15" i="1"/>
  <c r="L16" i="1" s="1"/>
  <c r="K15" i="1"/>
  <c r="J15" i="1"/>
  <c r="I15" i="1"/>
  <c r="H15" i="1"/>
  <c r="H16" i="1" s="1"/>
  <c r="G15" i="1"/>
  <c r="G16" i="1" s="1"/>
  <c r="F15" i="1"/>
  <c r="F16" i="1" s="1"/>
  <c r="E15" i="1"/>
  <c r="D15" i="1"/>
  <c r="D16" i="1" s="1"/>
  <c r="C15" i="1"/>
  <c r="B15" i="1"/>
  <c r="P14" i="1"/>
  <c r="O14" i="1"/>
  <c r="K14" i="1"/>
  <c r="I14" i="1"/>
  <c r="H14" i="1"/>
  <c r="G14" i="1"/>
  <c r="C14" i="1"/>
  <c r="P13" i="1"/>
  <c r="O13" i="1"/>
  <c r="N13" i="1"/>
  <c r="N14" i="1" s="1"/>
  <c r="M13" i="1"/>
  <c r="M14" i="1" s="1"/>
  <c r="L13" i="1"/>
  <c r="L14" i="1" s="1"/>
  <c r="K13" i="1"/>
  <c r="J13" i="1"/>
  <c r="J14" i="1" s="1"/>
  <c r="I13" i="1"/>
  <c r="H13" i="1"/>
  <c r="G13" i="1"/>
  <c r="F13" i="1"/>
  <c r="F14" i="1" s="1"/>
  <c r="E13" i="1"/>
  <c r="E14" i="1" s="1"/>
  <c r="D13" i="1"/>
  <c r="D14" i="1" s="1"/>
  <c r="C13" i="1"/>
  <c r="B13" i="1"/>
  <c r="B14" i="1" s="1"/>
  <c r="O12" i="1"/>
  <c r="N12" i="1"/>
  <c r="M12" i="1"/>
  <c r="I12" i="1"/>
  <c r="G12" i="1"/>
  <c r="F12" i="1"/>
  <c r="E12" i="1"/>
  <c r="P11" i="1"/>
  <c r="P12" i="1" s="1"/>
  <c r="O11" i="1"/>
  <c r="N11" i="1"/>
  <c r="M11" i="1"/>
  <c r="L11" i="1"/>
  <c r="L12" i="1" s="1"/>
  <c r="K11" i="1"/>
  <c r="K12" i="1" s="1"/>
  <c r="J11" i="1"/>
  <c r="J12" i="1" s="1"/>
  <c r="I11" i="1"/>
  <c r="H11" i="1"/>
  <c r="H12" i="1" s="1"/>
  <c r="G11" i="1"/>
  <c r="F11" i="1"/>
  <c r="E11" i="1"/>
  <c r="D11" i="1"/>
  <c r="D12" i="1" s="1"/>
  <c r="C11" i="1"/>
  <c r="C12" i="1" s="1"/>
  <c r="B11" i="1"/>
  <c r="B12" i="1" s="1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M7" i="5"/>
  <c r="K7" i="5"/>
  <c r="I7" i="5"/>
  <c r="E7" i="5"/>
  <c r="C7" i="5"/>
  <c r="P6" i="5"/>
  <c r="P7" i="5" s="1"/>
  <c r="O6" i="5"/>
  <c r="O7" i="5" s="1"/>
  <c r="N6" i="5"/>
  <c r="N7" i="5" s="1"/>
  <c r="M6" i="5"/>
  <c r="L6" i="5"/>
  <c r="L7" i="5" s="1"/>
  <c r="K6" i="5"/>
  <c r="J6" i="5"/>
  <c r="J7" i="5" s="1"/>
  <c r="I6" i="5"/>
  <c r="H6" i="5"/>
  <c r="H7" i="5" s="1"/>
  <c r="G6" i="5"/>
  <c r="G7" i="5" s="1"/>
  <c r="F6" i="5"/>
  <c r="F7" i="5" s="1"/>
  <c r="E6" i="5"/>
  <c r="D6" i="5"/>
  <c r="D7" i="5" s="1"/>
  <c r="C6" i="5"/>
  <c r="B6" i="5"/>
  <c r="B7" i="5" s="1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P8" i="10"/>
  <c r="N8" i="10"/>
  <c r="L8" i="10"/>
  <c r="K8" i="10"/>
  <c r="H8" i="10"/>
  <c r="F8" i="10"/>
  <c r="D8" i="10"/>
  <c r="C8" i="10"/>
  <c r="P7" i="10"/>
  <c r="O7" i="10"/>
  <c r="O8" i="10" s="1"/>
  <c r="N7" i="10"/>
  <c r="M7" i="10"/>
  <c r="M8" i="10" s="1"/>
  <c r="L7" i="10"/>
  <c r="K7" i="10"/>
  <c r="J7" i="10"/>
  <c r="J8" i="10" s="1"/>
  <c r="I7" i="10"/>
  <c r="I8" i="10" s="1"/>
  <c r="H7" i="10"/>
  <c r="G7" i="10"/>
  <c r="G8" i="10" s="1"/>
  <c r="F7" i="10"/>
  <c r="E7" i="10"/>
  <c r="E8" i="10" s="1"/>
  <c r="D7" i="10"/>
  <c r="C7" i="10"/>
  <c r="B7" i="10"/>
  <c r="B8" i="10" s="1"/>
  <c r="C10" i="6"/>
  <c r="C11" i="6" s="1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P15" i="6"/>
  <c r="N15" i="6"/>
  <c r="M15" i="6"/>
  <c r="K15" i="6"/>
  <c r="J15" i="6"/>
  <c r="I15" i="6"/>
  <c r="H15" i="6"/>
  <c r="F15" i="6"/>
  <c r="E15" i="6"/>
  <c r="C15" i="6"/>
  <c r="B15" i="6"/>
  <c r="P14" i="6"/>
  <c r="O14" i="6"/>
  <c r="O15" i="6" s="1"/>
  <c r="N14" i="6"/>
  <c r="M14" i="6"/>
  <c r="L14" i="6"/>
  <c r="L15" i="6" s="1"/>
  <c r="K14" i="6"/>
  <c r="J14" i="6"/>
  <c r="I14" i="6"/>
  <c r="H14" i="6"/>
  <c r="G14" i="6"/>
  <c r="G15" i="6" s="1"/>
  <c r="F14" i="6"/>
  <c r="E14" i="6"/>
  <c r="D14" i="6"/>
  <c r="D15" i="6" s="1"/>
  <c r="C14" i="6"/>
  <c r="B14" i="6"/>
  <c r="P13" i="6"/>
  <c r="O13" i="6"/>
  <c r="N13" i="6"/>
  <c r="L13" i="6"/>
  <c r="K13" i="6"/>
  <c r="I13" i="6"/>
  <c r="H13" i="6"/>
  <c r="G13" i="6"/>
  <c r="F13" i="6"/>
  <c r="D13" i="6"/>
  <c r="C13" i="6"/>
  <c r="P12" i="6"/>
  <c r="O12" i="6"/>
  <c r="N12" i="6"/>
  <c r="M12" i="6"/>
  <c r="M13" i="6" s="1"/>
  <c r="L12" i="6"/>
  <c r="K12" i="6"/>
  <c r="J12" i="6"/>
  <c r="J13" i="6" s="1"/>
  <c r="I12" i="6"/>
  <c r="H12" i="6"/>
  <c r="G12" i="6"/>
  <c r="F12" i="6"/>
  <c r="E12" i="6"/>
  <c r="E13" i="6" s="1"/>
  <c r="D12" i="6"/>
  <c r="C12" i="6"/>
  <c r="B12" i="6"/>
  <c r="B13" i="6" s="1"/>
  <c r="O11" i="6"/>
  <c r="N11" i="6"/>
  <c r="M11" i="6"/>
  <c r="L11" i="6"/>
  <c r="J11" i="6"/>
  <c r="I11" i="6"/>
  <c r="G11" i="6"/>
  <c r="F11" i="6"/>
  <c r="E11" i="6"/>
  <c r="D11" i="6"/>
  <c r="B11" i="6"/>
  <c r="P10" i="6"/>
  <c r="P11" i="6" s="1"/>
  <c r="O10" i="6"/>
  <c r="N10" i="6"/>
  <c r="M10" i="6"/>
  <c r="L10" i="6"/>
  <c r="K10" i="6"/>
  <c r="K11" i="6" s="1"/>
  <c r="J10" i="6"/>
  <c r="I10" i="6"/>
  <c r="H10" i="6"/>
  <c r="H11" i="6" s="1"/>
  <c r="G10" i="6"/>
  <c r="F10" i="6"/>
  <c r="E10" i="6"/>
  <c r="D10" i="6"/>
  <c r="B10" i="6"/>
  <c r="Q13" i="14"/>
  <c r="R13" i="14" s="1"/>
  <c r="P12" i="7"/>
  <c r="P11" i="7"/>
  <c r="K15" i="16"/>
  <c r="J15" i="16"/>
  <c r="I15" i="16"/>
  <c r="H15" i="16"/>
  <c r="G15" i="16"/>
  <c r="F15" i="16"/>
  <c r="K8" i="16"/>
  <c r="J8" i="16"/>
  <c r="I8" i="16"/>
  <c r="H8" i="16"/>
  <c r="G8" i="16"/>
  <c r="F8" i="16"/>
  <c r="E8" i="16"/>
  <c r="D8" i="16"/>
  <c r="C8" i="16"/>
  <c r="B8" i="16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R24" i="14"/>
  <c r="Q24" i="14"/>
  <c r="Q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B23" i="14"/>
  <c r="Q23" i="14" s="1"/>
  <c r="R6" i="14"/>
  <c r="Q10" i="14"/>
  <c r="Q5" i="14"/>
  <c r="R5" i="14" s="1"/>
  <c r="Q3" i="14"/>
  <c r="Q6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B4" i="14"/>
  <c r="Q12" i="14"/>
  <c r="R12" i="14" s="1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B11" i="14"/>
  <c r="Q17" i="14"/>
  <c r="Q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B18" i="14"/>
  <c r="T9" i="7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M33" i="8"/>
  <c r="O33" i="8"/>
  <c r="B33" i="8"/>
  <c r="C32" i="8"/>
  <c r="C33" i="8" s="1"/>
  <c r="D32" i="8"/>
  <c r="D33" i="8" s="1"/>
  <c r="E32" i="8"/>
  <c r="E33" i="8" s="1"/>
  <c r="F32" i="8"/>
  <c r="F33" i="8" s="1"/>
  <c r="G32" i="8"/>
  <c r="G33" i="8" s="1"/>
  <c r="H32" i="8"/>
  <c r="H33" i="8" s="1"/>
  <c r="I32" i="8"/>
  <c r="I33" i="8" s="1"/>
  <c r="J32" i="8"/>
  <c r="J33" i="8" s="1"/>
  <c r="K32" i="8"/>
  <c r="K33" i="8" s="1"/>
  <c r="L32" i="8"/>
  <c r="L33" i="8" s="1"/>
  <c r="M32" i="8"/>
  <c r="N32" i="8"/>
  <c r="N33" i="8" s="1"/>
  <c r="O32" i="8"/>
  <c r="P32" i="8"/>
  <c r="P33" i="8" s="1"/>
  <c r="B32" i="8"/>
  <c r="I26" i="8"/>
  <c r="C25" i="8"/>
  <c r="C26" i="8" s="1"/>
  <c r="D25" i="8"/>
  <c r="D26" i="8" s="1"/>
  <c r="E25" i="8"/>
  <c r="E26" i="8" s="1"/>
  <c r="F25" i="8"/>
  <c r="F26" i="8" s="1"/>
  <c r="G25" i="8"/>
  <c r="G26" i="8" s="1"/>
  <c r="H25" i="8"/>
  <c r="H26" i="8" s="1"/>
  <c r="I25" i="8"/>
  <c r="J25" i="8"/>
  <c r="J26" i="8" s="1"/>
  <c r="K25" i="8"/>
  <c r="K26" i="8" s="1"/>
  <c r="L25" i="8"/>
  <c r="L26" i="8" s="1"/>
  <c r="M25" i="8"/>
  <c r="M26" i="8" s="1"/>
  <c r="N25" i="8"/>
  <c r="N26" i="8" s="1"/>
  <c r="O25" i="8"/>
  <c r="O26" i="8" s="1"/>
  <c r="P25" i="8"/>
  <c r="P26" i="8" s="1"/>
  <c r="B25" i="8"/>
  <c r="B26" i="8" s="1"/>
  <c r="C16" i="8"/>
  <c r="C15" i="8"/>
  <c r="D15" i="8"/>
  <c r="D16" i="8" s="1"/>
  <c r="E15" i="8"/>
  <c r="E16" i="8" s="1"/>
  <c r="F15" i="8"/>
  <c r="F16" i="8" s="1"/>
  <c r="G15" i="8"/>
  <c r="G16" i="8" s="1"/>
  <c r="H15" i="8"/>
  <c r="H16" i="8" s="1"/>
  <c r="I15" i="8"/>
  <c r="I16" i="8" s="1"/>
  <c r="J15" i="8"/>
  <c r="J16" i="8" s="1"/>
  <c r="K15" i="8"/>
  <c r="K16" i="8" s="1"/>
  <c r="L15" i="8"/>
  <c r="L16" i="8" s="1"/>
  <c r="M15" i="8"/>
  <c r="M16" i="8" s="1"/>
  <c r="N15" i="8"/>
  <c r="N16" i="8" s="1"/>
  <c r="O15" i="8"/>
  <c r="O16" i="8" s="1"/>
  <c r="P15" i="8"/>
  <c r="P16" i="8" s="1"/>
  <c r="B15" i="8"/>
  <c r="B16" i="8" s="1"/>
  <c r="B18" i="8"/>
  <c r="B23" i="8"/>
  <c r="P5" i="8"/>
  <c r="P6" i="8" s="1"/>
  <c r="O5" i="8"/>
  <c r="O6" i="8" s="1"/>
  <c r="N5" i="8"/>
  <c r="N6" i="8" s="1"/>
  <c r="M5" i="8"/>
  <c r="M6" i="8" s="1"/>
  <c r="L5" i="8"/>
  <c r="L6" i="8" s="1"/>
  <c r="K5" i="8"/>
  <c r="K6" i="8" s="1"/>
  <c r="J5" i="8"/>
  <c r="J6" i="8" s="1"/>
  <c r="I5" i="8"/>
  <c r="I6" i="8" s="1"/>
  <c r="H5" i="8"/>
  <c r="H6" i="8" s="1"/>
  <c r="G5" i="8"/>
  <c r="G6" i="8" s="1"/>
  <c r="F5" i="8"/>
  <c r="F6" i="8" s="1"/>
  <c r="E5" i="8"/>
  <c r="E6" i="8" s="1"/>
  <c r="D5" i="8"/>
  <c r="D6" i="8" s="1"/>
  <c r="C5" i="8"/>
  <c r="C6" i="8" s="1"/>
  <c r="B5" i="8"/>
  <c r="B6" i="8" s="1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Q29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Q22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Q12" i="8"/>
  <c r="Q19" i="8" s="1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B8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Q2" i="8"/>
  <c r="Q9" i="8" s="1"/>
  <c r="Q12" i="7"/>
  <c r="Q9" i="7" s="1"/>
  <c r="R12" i="7"/>
  <c r="S12" i="7"/>
  <c r="T12" i="7"/>
  <c r="U12" i="7"/>
  <c r="V12" i="7"/>
  <c r="W12" i="7"/>
  <c r="X12" i="7"/>
  <c r="X9" i="7" s="1"/>
  <c r="Y12" i="7"/>
  <c r="Z12" i="7"/>
  <c r="AA12" i="7"/>
  <c r="AB12" i="7"/>
  <c r="AC12" i="7"/>
  <c r="AD12" i="7"/>
  <c r="AE12" i="7"/>
  <c r="B4" i="7"/>
  <c r="C4" i="7"/>
  <c r="D6" i="7" s="1"/>
  <c r="Q4" i="15" l="1"/>
  <c r="Q16" i="15"/>
  <c r="Q5" i="15"/>
  <c r="Q3" i="15"/>
  <c r="Q6" i="15"/>
  <c r="Q7" i="15"/>
  <c r="Q8" i="15"/>
  <c r="Q9" i="15"/>
  <c r="Q11" i="15"/>
  <c r="Q17" i="15"/>
  <c r="Q11" i="14"/>
  <c r="Q4" i="14"/>
  <c r="Q9" i="14"/>
  <c r="Q2" i="14"/>
  <c r="Q21" i="14"/>
  <c r="Q16" i="14"/>
  <c r="C6" i="7"/>
  <c r="Q30" i="8"/>
  <c r="Q32" i="8"/>
  <c r="Q33" i="8" s="1"/>
  <c r="Q5" i="8"/>
  <c r="Q6" i="8" s="1"/>
  <c r="F7" i="13"/>
  <c r="G7" i="13" s="1"/>
  <c r="Q17" i="8"/>
  <c r="Q7" i="8"/>
  <c r="Q23" i="8"/>
  <c r="Q13" i="8"/>
  <c r="Q15" i="8"/>
  <c r="Q16" i="8" s="1"/>
  <c r="Q25" i="8"/>
  <c r="Q26" i="8" s="1"/>
  <c r="Q34" i="8"/>
  <c r="Q3" i="8"/>
  <c r="B6" i="7"/>
  <c r="B8" i="7" s="1"/>
  <c r="E8" i="7"/>
  <c r="F10" i="7" s="1"/>
  <c r="G12" i="7" s="1"/>
  <c r="H14" i="7" s="1"/>
  <c r="I16" i="7" s="1"/>
  <c r="J18" i="7" s="1"/>
  <c r="K20" i="7" s="1"/>
  <c r="L22" i="7" s="1"/>
  <c r="M24" i="7" s="1"/>
  <c r="N26" i="7" s="1"/>
  <c r="D8" i="7"/>
  <c r="C8" i="7" l="1"/>
  <c r="C10" i="7" s="1"/>
  <c r="E10" i="7"/>
  <c r="F12" i="7" s="1"/>
  <c r="G14" i="7" s="1"/>
  <c r="H16" i="7" s="1"/>
  <c r="I18" i="7" s="1"/>
  <c r="J20" i="7" s="1"/>
  <c r="K22" i="7" s="1"/>
  <c r="L24" i="7" s="1"/>
  <c r="M26" i="7" s="1"/>
  <c r="N28" i="7" s="1"/>
  <c r="D10" i="7" l="1"/>
  <c r="E12" i="7"/>
  <c r="D12" i="7"/>
  <c r="F14" i="7" l="1"/>
  <c r="E14" i="7"/>
  <c r="G16" i="7" l="1"/>
  <c r="F16" i="7"/>
  <c r="H18" i="7" l="1"/>
  <c r="G18" i="7"/>
  <c r="I20" i="7" l="1"/>
  <c r="H20" i="7"/>
  <c r="I22" i="7" l="1"/>
  <c r="J22" i="7"/>
  <c r="J24" i="7" l="1"/>
  <c r="K24" i="7"/>
  <c r="L26" i="7" l="1"/>
  <c r="K26" i="7"/>
  <c r="M28" i="7" l="1"/>
  <c r="L28" i="7"/>
  <c r="M30" i="7" l="1"/>
  <c r="N30" i="7"/>
</calcChain>
</file>

<file path=xl/sharedStrings.xml><?xml version="1.0" encoding="utf-8"?>
<sst xmlns="http://schemas.openxmlformats.org/spreadsheetml/2006/main" count="808" uniqueCount="334">
  <si>
    <t>12-0</t>
  </si>
  <si>
    <t>12-1</t>
    <phoneticPr fontId="2" type="noConversion"/>
  </si>
  <si>
    <t>12-2</t>
    <phoneticPr fontId="2" type="noConversion"/>
  </si>
  <si>
    <t>N/A</t>
  </si>
  <si>
    <t>0-0</t>
    <phoneticPr fontId="2" type="noConversion"/>
  </si>
  <si>
    <t>0-1</t>
    <phoneticPr fontId="2" type="noConversion"/>
  </si>
  <si>
    <t>1-0</t>
    <phoneticPr fontId="2" type="noConversion"/>
  </si>
  <si>
    <t>0-2</t>
    <phoneticPr fontId="2" type="noConversion"/>
  </si>
  <si>
    <t>0-3</t>
  </si>
  <si>
    <t>0-3</t>
    <phoneticPr fontId="2" type="noConversion"/>
  </si>
  <si>
    <t>1-1</t>
    <phoneticPr fontId="2" type="noConversion"/>
  </si>
  <si>
    <t>2-2</t>
    <phoneticPr fontId="2" type="noConversion"/>
  </si>
  <si>
    <t>3-3</t>
    <phoneticPr fontId="2" type="noConversion"/>
  </si>
  <si>
    <t>2-0</t>
    <phoneticPr fontId="2" type="noConversion"/>
  </si>
  <si>
    <t>3-0</t>
    <phoneticPr fontId="2" type="noConversion"/>
  </si>
  <si>
    <t>4-0</t>
    <phoneticPr fontId="2" type="noConversion"/>
  </si>
  <si>
    <t>5-0</t>
    <phoneticPr fontId="2" type="noConversion"/>
  </si>
  <si>
    <t>6-0</t>
    <phoneticPr fontId="2" type="noConversion"/>
  </si>
  <si>
    <t>7-0</t>
    <phoneticPr fontId="2" type="noConversion"/>
  </si>
  <si>
    <t>8-0</t>
    <phoneticPr fontId="2" type="noConversion"/>
  </si>
  <si>
    <t>9-0</t>
    <phoneticPr fontId="2" type="noConversion"/>
  </si>
  <si>
    <t>10-0</t>
    <phoneticPr fontId="2" type="noConversion"/>
  </si>
  <si>
    <t>11-0</t>
    <phoneticPr fontId="2" type="noConversion"/>
  </si>
  <si>
    <t>12-0</t>
    <phoneticPr fontId="2" type="noConversion"/>
  </si>
  <si>
    <t>11-1</t>
    <phoneticPr fontId="2" type="noConversion"/>
  </si>
  <si>
    <t>1-2</t>
    <phoneticPr fontId="2" type="noConversion"/>
  </si>
  <si>
    <t>1-3</t>
    <phoneticPr fontId="2" type="noConversion"/>
  </si>
  <si>
    <t>2-1</t>
    <phoneticPr fontId="2" type="noConversion"/>
  </si>
  <si>
    <t>2-3</t>
    <phoneticPr fontId="2" type="noConversion"/>
  </si>
  <si>
    <t>3-1</t>
    <phoneticPr fontId="2" type="noConversion"/>
  </si>
  <si>
    <t>3-2</t>
    <phoneticPr fontId="2" type="noConversion"/>
  </si>
  <si>
    <t>4-1</t>
    <phoneticPr fontId="2" type="noConversion"/>
  </si>
  <si>
    <t>4-2</t>
    <phoneticPr fontId="2" type="noConversion"/>
  </si>
  <si>
    <t>4-3</t>
    <phoneticPr fontId="2" type="noConversion"/>
  </si>
  <si>
    <t>5-1</t>
    <phoneticPr fontId="2" type="noConversion"/>
  </si>
  <si>
    <t>5-2</t>
    <phoneticPr fontId="2" type="noConversion"/>
  </si>
  <si>
    <t>5-3</t>
    <phoneticPr fontId="2" type="noConversion"/>
  </si>
  <si>
    <t>6-1</t>
    <phoneticPr fontId="2" type="noConversion"/>
  </si>
  <si>
    <t>6-2</t>
    <phoneticPr fontId="2" type="noConversion"/>
  </si>
  <si>
    <t>6-3</t>
    <phoneticPr fontId="2" type="noConversion"/>
  </si>
  <si>
    <t>7-1</t>
    <phoneticPr fontId="2" type="noConversion"/>
  </si>
  <si>
    <t>7-2</t>
    <phoneticPr fontId="2" type="noConversion"/>
  </si>
  <si>
    <t>7-3</t>
    <phoneticPr fontId="2" type="noConversion"/>
  </si>
  <si>
    <t>8-1</t>
    <phoneticPr fontId="2" type="noConversion"/>
  </si>
  <si>
    <t>8-2</t>
    <phoneticPr fontId="2" type="noConversion"/>
  </si>
  <si>
    <t>8-3</t>
    <phoneticPr fontId="2" type="noConversion"/>
  </si>
  <si>
    <t>9-1</t>
    <phoneticPr fontId="2" type="noConversion"/>
  </si>
  <si>
    <t>9-2</t>
    <phoneticPr fontId="2" type="noConversion"/>
  </si>
  <si>
    <t>9-3</t>
    <phoneticPr fontId="2" type="noConversion"/>
  </si>
  <si>
    <t>10-1</t>
    <phoneticPr fontId="2" type="noConversion"/>
  </si>
  <si>
    <t>10-2</t>
    <phoneticPr fontId="2" type="noConversion"/>
  </si>
  <si>
    <t>10-3</t>
    <phoneticPr fontId="2" type="noConversion"/>
  </si>
  <si>
    <t>11-2</t>
    <phoneticPr fontId="2" type="noConversion"/>
  </si>
  <si>
    <t>11-3</t>
    <phoneticPr fontId="2" type="noConversion"/>
  </si>
  <si>
    <t>人数</t>
  </si>
  <si>
    <t>总数</t>
  </si>
  <si>
    <t>比例</t>
  </si>
  <si>
    <t>金回收率</t>
    <phoneticPr fontId="2" type="noConversion"/>
  </si>
  <si>
    <t>总收益率</t>
    <phoneticPr fontId="2" type="noConversion"/>
  </si>
  <si>
    <t>33.0</t>
    <phoneticPr fontId="2" type="noConversion"/>
  </si>
  <si>
    <t>经典</t>
    <phoneticPr fontId="2" type="noConversion"/>
  </si>
  <si>
    <t>英雄乱斗</t>
    <phoneticPr fontId="2" type="noConversion"/>
  </si>
  <si>
    <t>1-3</t>
  </si>
  <si>
    <t>2-3</t>
  </si>
  <si>
    <t>3-3</t>
  </si>
  <si>
    <t>4-3</t>
  </si>
  <si>
    <t>5-3</t>
  </si>
  <si>
    <t>6-3</t>
  </si>
  <si>
    <t>7-3</t>
  </si>
  <si>
    <t>8-3</t>
  </si>
  <si>
    <t>9-3</t>
  </si>
  <si>
    <t>10-3</t>
  </si>
  <si>
    <t>11-3</t>
  </si>
  <si>
    <t>12-2</t>
  </si>
  <si>
    <t>12-1</t>
  </si>
  <si>
    <t>金回收率</t>
  </si>
  <si>
    <t>奖池门票比</t>
    <phoneticPr fontId="2" type="noConversion"/>
  </si>
  <si>
    <t>地下竞技场33.0</t>
    <phoneticPr fontId="2" type="noConversion"/>
  </si>
  <si>
    <t>x-y</t>
    <phoneticPr fontId="2" type="noConversion"/>
  </si>
  <si>
    <t>32.4</t>
    <phoneticPr fontId="2" type="noConversion"/>
  </si>
  <si>
    <t>总回收金(k)</t>
    <phoneticPr fontId="2" type="noConversion"/>
  </si>
  <si>
    <t>单位期望金</t>
    <phoneticPr fontId="2" type="noConversion"/>
  </si>
  <si>
    <t>总收益（份）</t>
    <phoneticPr fontId="2" type="noConversion"/>
  </si>
  <si>
    <t>33.0期望金</t>
    <phoneticPr fontId="2" type="noConversion"/>
  </si>
  <si>
    <t>32.4期望金</t>
    <phoneticPr fontId="2" type="noConversion"/>
  </si>
  <si>
    <t>经典期望金</t>
    <phoneticPr fontId="2" type="noConversion"/>
  </si>
  <si>
    <t>33.0收益率</t>
    <phoneticPr fontId="2" type="noConversion"/>
  </si>
  <si>
    <t>32.4收益率</t>
    <phoneticPr fontId="2" type="noConversion"/>
  </si>
  <si>
    <t>经典收益率</t>
    <phoneticPr fontId="2" type="noConversion"/>
  </si>
  <si>
    <t>单位收益率</t>
    <phoneticPr fontId="2" type="noConversion"/>
  </si>
  <si>
    <t>乱斗期望金</t>
    <phoneticPr fontId="2" type="noConversion"/>
  </si>
  <si>
    <t>乱斗收益率</t>
    <phoneticPr fontId="2" type="noConversion"/>
  </si>
  <si>
    <t>33.0金票比</t>
    <phoneticPr fontId="2" type="noConversion"/>
  </si>
  <si>
    <t>32.4金票比</t>
    <phoneticPr fontId="2" type="noConversion"/>
  </si>
  <si>
    <t>经典金票比</t>
    <phoneticPr fontId="2" type="noConversion"/>
  </si>
  <si>
    <t>乱斗金票比</t>
    <phoneticPr fontId="2" type="noConversion"/>
  </si>
  <si>
    <t>1000g</t>
    <phoneticPr fontId="2" type="noConversion"/>
  </si>
  <si>
    <t>地下竞技场32.4</t>
    <phoneticPr fontId="2" type="noConversion"/>
  </si>
  <si>
    <t>无大奖金</t>
    <phoneticPr fontId="2" type="noConversion"/>
  </si>
  <si>
    <t>33.0无大奖</t>
    <phoneticPr fontId="2" type="noConversion"/>
  </si>
  <si>
    <t>32.4无大奖</t>
    <phoneticPr fontId="2" type="noConversion"/>
  </si>
  <si>
    <t>x-y</t>
  </si>
  <si>
    <t>f(a,0)</t>
  </si>
  <si>
    <t>f(a,1)</t>
  </si>
  <si>
    <t>f(a,2)</t>
  </si>
  <si>
    <t>f(a,3)</t>
  </si>
  <si>
    <t>f(a,4)</t>
  </si>
  <si>
    <t>f(a,5)</t>
  </si>
  <si>
    <t>f(a,6)</t>
  </si>
  <si>
    <t>f(a,7)</t>
  </si>
  <si>
    <t>f(a,8)</t>
  </si>
  <si>
    <t>f(a,9)</t>
  </si>
  <si>
    <t>f(a,10)</t>
  </si>
  <si>
    <t>f(a,11)</t>
  </si>
  <si>
    <t>g(a,2)</t>
  </si>
  <si>
    <t>g(a,1)</t>
  </si>
  <si>
    <t>g(a,0)</t>
  </si>
  <si>
    <t>-</t>
    <phoneticPr fontId="2" type="noConversion"/>
  </si>
  <si>
    <t>12-2/12-1/12-0</t>
    <phoneticPr fontId="2" type="noConversion"/>
  </si>
  <si>
    <t>https://hearthstone-decks.net/arena-duels-in-hearthstone-what-are-the-rewards/</t>
  </si>
  <si>
    <t>https://bnetcmsus-a.akamaihd.net/cms/gallery/JMK5MJ92QKFD1476732816485.jpg</t>
  </si>
  <si>
    <t>https://us.support.blizzard.com/en/article/32545</t>
  </si>
  <si>
    <t>https://web.archive.org/web/20250624172331/https://us.support.blizzard.com/en/article/32545</t>
  </si>
  <si>
    <r>
      <rPr>
        <sz val="10"/>
        <color rgb="FF000000"/>
        <rFont val="楷体"/>
        <family val="3"/>
        <charset val="134"/>
      </rPr>
      <t>平均</t>
    </r>
    <r>
      <rPr>
        <sz val="10"/>
        <color rgb="FF000000"/>
        <rFont val="Times New Roman"/>
        <family val="1"/>
      </rPr>
      <t>3.5</t>
    </r>
    <r>
      <rPr>
        <sz val="10"/>
        <color rgb="FF000000"/>
        <rFont val="楷体"/>
        <family val="3"/>
        <charset val="134"/>
      </rPr>
      <t>张</t>
    </r>
    <phoneticPr fontId="2" type="noConversion"/>
  </si>
  <si>
    <r>
      <t>1</t>
    </r>
    <r>
      <rPr>
        <sz val="10"/>
        <color rgb="FF000000"/>
        <rFont val="楷体"/>
        <family val="3"/>
        <charset val="134"/>
      </rPr>
      <t>（及以上稀有度）</t>
    </r>
  </si>
  <si>
    <r>
      <rPr>
        <sz val="10"/>
        <color rgb="FF000000"/>
        <rFont val="楷体"/>
        <family val="3"/>
        <charset val="134"/>
      </rPr>
      <t>平均</t>
    </r>
    <r>
      <rPr>
        <sz val="10"/>
        <color rgb="FF000000"/>
        <rFont val="Times New Roman"/>
        <family val="1"/>
      </rPr>
      <t>3.7</t>
    </r>
    <r>
      <rPr>
        <sz val="10"/>
        <color rgb="FF000000"/>
        <rFont val="楷体"/>
        <family val="3"/>
        <charset val="134"/>
      </rPr>
      <t>张</t>
    </r>
  </si>
  <si>
    <r>
      <t>2000</t>
    </r>
    <r>
      <rPr>
        <b/>
        <sz val="8"/>
        <color theme="1"/>
        <rFont val="Times New Roman"/>
        <family val="1"/>
      </rPr>
      <t>g</t>
    </r>
    <phoneticPr fontId="2" type="noConversion"/>
  </si>
  <si>
    <r>
      <rPr>
        <sz val="11"/>
        <color theme="1"/>
        <rFont val="楷体"/>
        <family val="3"/>
        <charset val="134"/>
      </rPr>
      <t>奖励范围</t>
    </r>
    <phoneticPr fontId="2" type="noConversion"/>
  </si>
  <si>
    <r>
      <rPr>
        <sz val="11"/>
        <color theme="1"/>
        <rFont val="楷体"/>
        <family val="3"/>
        <charset val="134"/>
      </rPr>
      <t>卡包</t>
    </r>
    <phoneticPr fontId="2" type="noConversion"/>
  </si>
  <si>
    <r>
      <rPr>
        <sz val="11"/>
        <color theme="1"/>
        <rFont val="楷体"/>
        <family val="3"/>
        <charset val="134"/>
      </rPr>
      <t>金卡包</t>
    </r>
    <phoneticPr fontId="2" type="noConversion"/>
  </si>
  <si>
    <r>
      <rPr>
        <sz val="11"/>
        <color theme="1"/>
        <rFont val="楷体"/>
        <family val="3"/>
        <charset val="134"/>
      </rPr>
      <t>金币</t>
    </r>
    <phoneticPr fontId="2" type="noConversion"/>
  </si>
  <si>
    <r>
      <rPr>
        <sz val="11"/>
        <color theme="1"/>
        <rFont val="楷体"/>
        <family val="3"/>
        <charset val="134"/>
      </rPr>
      <t>通票</t>
    </r>
    <phoneticPr fontId="2" type="noConversion"/>
  </si>
  <si>
    <r>
      <rPr>
        <sz val="11"/>
        <color theme="1"/>
        <rFont val="楷体"/>
        <family val="3"/>
        <charset val="134"/>
      </rPr>
      <t>普通稀有</t>
    </r>
    <phoneticPr fontId="2" type="noConversion"/>
  </si>
  <si>
    <r>
      <rPr>
        <sz val="11"/>
        <color theme="1"/>
        <rFont val="楷体"/>
        <family val="3"/>
        <charset val="134"/>
      </rPr>
      <t>普通史诗</t>
    </r>
    <phoneticPr fontId="2" type="noConversion"/>
  </si>
  <si>
    <r>
      <rPr>
        <sz val="11"/>
        <color theme="1"/>
        <rFont val="楷体"/>
        <family val="3"/>
        <charset val="134"/>
      </rPr>
      <t>普通传说</t>
    </r>
    <phoneticPr fontId="2" type="noConversion"/>
  </si>
  <si>
    <r>
      <rPr>
        <sz val="11"/>
        <color theme="1"/>
        <rFont val="楷体"/>
        <family val="3"/>
        <charset val="134"/>
      </rPr>
      <t>金色史诗</t>
    </r>
    <phoneticPr fontId="2" type="noConversion"/>
  </si>
  <si>
    <r>
      <rPr>
        <sz val="11"/>
        <color theme="1"/>
        <rFont val="楷体"/>
        <family val="3"/>
        <charset val="134"/>
      </rPr>
      <t>金色传说</t>
    </r>
    <phoneticPr fontId="2" type="noConversion"/>
  </si>
  <si>
    <r>
      <rPr>
        <sz val="11"/>
        <color theme="1"/>
        <rFont val="楷体"/>
        <family val="3"/>
        <charset val="134"/>
      </rPr>
      <t>尘</t>
    </r>
    <phoneticPr fontId="2" type="noConversion"/>
  </si>
  <si>
    <r>
      <rPr>
        <b/>
        <sz val="10"/>
        <color rgb="FF000000"/>
        <rFont val="楷体"/>
        <family val="3"/>
        <charset val="134"/>
      </rPr>
      <t>金色普通</t>
    </r>
  </si>
  <si>
    <r>
      <rPr>
        <b/>
        <sz val="10"/>
        <color rgb="FF000000"/>
        <rFont val="楷体"/>
        <family val="3"/>
        <charset val="134"/>
      </rPr>
      <t>金色稀有</t>
    </r>
  </si>
  <si>
    <r>
      <rPr>
        <b/>
        <sz val="10"/>
        <color rgb="FF000000"/>
        <rFont val="楷体"/>
        <family val="3"/>
        <charset val="134"/>
      </rPr>
      <t>金色史诗</t>
    </r>
  </si>
  <si>
    <r>
      <rPr>
        <b/>
        <sz val="10"/>
        <color rgb="FF000000"/>
        <rFont val="楷体"/>
        <family val="3"/>
        <charset val="134"/>
      </rPr>
      <t>金色传说</t>
    </r>
  </si>
  <si>
    <r>
      <rPr>
        <b/>
        <sz val="10"/>
        <color rgb="FF000000"/>
        <rFont val="楷体"/>
        <family val="3"/>
        <charset val="134"/>
      </rPr>
      <t>异画传说</t>
    </r>
  </si>
  <si>
    <r>
      <rPr>
        <b/>
        <sz val="10"/>
        <color rgb="FF000000"/>
        <rFont val="楷体"/>
        <family val="3"/>
        <charset val="134"/>
      </rPr>
      <t>汇总</t>
    </r>
    <phoneticPr fontId="2" type="noConversion"/>
  </si>
  <si>
    <r>
      <rPr>
        <b/>
        <sz val="10"/>
        <color rgb="FFFFFFFF"/>
        <rFont val="楷体"/>
        <family val="3"/>
        <charset val="134"/>
      </rPr>
      <t>每包概率</t>
    </r>
  </si>
  <si>
    <r>
      <rPr>
        <b/>
        <sz val="10"/>
        <color rgb="FFFFFFFF"/>
        <rFont val="楷体"/>
        <family val="3"/>
        <charset val="134"/>
      </rPr>
      <t>合成（尘）</t>
    </r>
  </si>
  <si>
    <r>
      <rPr>
        <b/>
        <sz val="10"/>
        <color rgb="FFFFFFFF"/>
        <rFont val="楷体"/>
        <family val="3"/>
        <charset val="134"/>
      </rPr>
      <t>分解（尘）</t>
    </r>
  </si>
  <si>
    <r>
      <rPr>
        <b/>
        <sz val="10"/>
        <color rgb="FFFFFFFF"/>
        <rFont val="楷体"/>
        <family val="3"/>
        <charset val="134"/>
      </rPr>
      <t>每包期望尘</t>
    </r>
  </si>
  <si>
    <r>
      <rPr>
        <b/>
        <sz val="10"/>
        <color rgb="FFFFFFFF"/>
        <rFont val="楷体"/>
        <family val="3"/>
        <charset val="134"/>
      </rPr>
      <t>保底</t>
    </r>
  </si>
  <si>
    <r>
      <rPr>
        <b/>
        <sz val="10"/>
        <color rgb="FFFFFFFF"/>
        <rFont val="楷体"/>
        <family val="3"/>
        <charset val="134"/>
      </rPr>
      <t>金包（</t>
    </r>
    <r>
      <rPr>
        <b/>
        <sz val="10"/>
        <color rgb="FFFFFFFF"/>
        <rFont val="Times New Roman"/>
        <family val="1"/>
      </rPr>
      <t>400</t>
    </r>
    <r>
      <rPr>
        <b/>
        <sz val="10"/>
        <color rgb="FFFFFFFF"/>
        <rFont val="楷体"/>
        <family val="3"/>
        <charset val="134"/>
      </rPr>
      <t>金）</t>
    </r>
  </si>
  <si>
    <r>
      <rPr>
        <b/>
        <sz val="10"/>
        <color rgb="FFFFFFFF"/>
        <rFont val="楷体"/>
        <family val="3"/>
        <charset val="134"/>
      </rPr>
      <t>普通包（</t>
    </r>
    <r>
      <rPr>
        <b/>
        <sz val="10"/>
        <color rgb="FFFFFFFF"/>
        <rFont val="Times New Roman"/>
        <family val="1"/>
      </rPr>
      <t>100</t>
    </r>
    <r>
      <rPr>
        <b/>
        <sz val="10"/>
        <color rgb="FFFFFFFF"/>
        <rFont val="楷体"/>
        <family val="3"/>
        <charset val="134"/>
      </rPr>
      <t>金）</t>
    </r>
    <phoneticPr fontId="2" type="noConversion"/>
  </si>
  <si>
    <r>
      <rPr>
        <sz val="11"/>
        <color theme="1"/>
        <rFont val="楷体"/>
        <family val="3"/>
        <charset val="134"/>
      </rPr>
      <t>总数</t>
    </r>
  </si>
  <si>
    <r>
      <rPr>
        <sz val="11"/>
        <color theme="1"/>
        <rFont val="楷体"/>
        <family val="3"/>
        <charset val="134"/>
      </rPr>
      <t>胜率</t>
    </r>
    <phoneticPr fontId="2" type="noConversion"/>
  </si>
  <si>
    <r>
      <rPr>
        <sz val="11"/>
        <color theme="1"/>
        <rFont val="楷体"/>
        <family val="3"/>
        <charset val="134"/>
      </rPr>
      <t>比例</t>
    </r>
  </si>
  <si>
    <r>
      <t>33.0</t>
    </r>
    <r>
      <rPr>
        <sz val="11"/>
        <color theme="1"/>
        <rFont val="楷体"/>
        <family val="3"/>
        <charset val="134"/>
      </rPr>
      <t>期望金</t>
    </r>
    <phoneticPr fontId="2" type="noConversion"/>
  </si>
  <si>
    <r>
      <rPr>
        <sz val="11"/>
        <color theme="1"/>
        <rFont val="楷体"/>
        <family val="3"/>
        <charset val="134"/>
      </rPr>
      <t>经典</t>
    </r>
    <phoneticPr fontId="2" type="noConversion"/>
  </si>
  <si>
    <r>
      <t>32.4</t>
    </r>
    <r>
      <rPr>
        <sz val="11"/>
        <color theme="1"/>
        <rFont val="楷体"/>
        <family val="3"/>
        <charset val="134"/>
      </rPr>
      <t>期望金</t>
    </r>
    <phoneticPr fontId="2" type="noConversion"/>
  </si>
  <si>
    <r>
      <rPr>
        <sz val="11"/>
        <color theme="1"/>
        <rFont val="楷体"/>
        <family val="3"/>
        <charset val="134"/>
      </rPr>
      <t>英雄乱斗</t>
    </r>
    <phoneticPr fontId="2" type="noConversion"/>
  </si>
  <si>
    <r>
      <rPr>
        <sz val="11"/>
        <color theme="1"/>
        <rFont val="楷体"/>
        <family val="3"/>
        <charset val="134"/>
      </rPr>
      <t>经典期望金</t>
    </r>
    <phoneticPr fontId="2" type="noConversion"/>
  </si>
  <si>
    <r>
      <rPr>
        <sz val="11"/>
        <color theme="1"/>
        <rFont val="楷体"/>
        <family val="3"/>
        <charset val="134"/>
      </rPr>
      <t>乱斗期望金</t>
    </r>
    <phoneticPr fontId="2" type="noConversion"/>
  </si>
  <si>
    <r>
      <t>33.0</t>
    </r>
    <r>
      <rPr>
        <sz val="11"/>
        <color theme="1"/>
        <rFont val="楷体"/>
        <family val="3"/>
        <charset val="134"/>
      </rPr>
      <t>收益率</t>
    </r>
    <phoneticPr fontId="2" type="noConversion"/>
  </si>
  <si>
    <r>
      <t>32.4</t>
    </r>
    <r>
      <rPr>
        <sz val="11"/>
        <color theme="1"/>
        <rFont val="楷体"/>
        <family val="3"/>
        <charset val="134"/>
      </rPr>
      <t>收益率</t>
    </r>
    <phoneticPr fontId="2" type="noConversion"/>
  </si>
  <si>
    <r>
      <rPr>
        <sz val="11"/>
        <color theme="1"/>
        <rFont val="楷体"/>
        <family val="3"/>
        <charset val="134"/>
      </rPr>
      <t>经典收益率</t>
    </r>
    <phoneticPr fontId="2" type="noConversion"/>
  </si>
  <si>
    <r>
      <rPr>
        <sz val="11"/>
        <color theme="1"/>
        <rFont val="楷体"/>
        <family val="3"/>
        <charset val="134"/>
      </rPr>
      <t>乱斗收益率</t>
    </r>
    <phoneticPr fontId="2" type="noConversion"/>
  </si>
  <si>
    <r>
      <t>33.0</t>
    </r>
    <r>
      <rPr>
        <sz val="11"/>
        <color theme="1"/>
        <rFont val="楷体"/>
        <family val="3"/>
        <charset val="134"/>
      </rPr>
      <t>金票比</t>
    </r>
    <phoneticPr fontId="2" type="noConversion"/>
  </si>
  <si>
    <r>
      <t>32.4</t>
    </r>
    <r>
      <rPr>
        <sz val="11"/>
        <color theme="1"/>
        <rFont val="楷体"/>
        <family val="3"/>
        <charset val="134"/>
      </rPr>
      <t>金票比</t>
    </r>
    <phoneticPr fontId="2" type="noConversion"/>
  </si>
  <si>
    <r>
      <rPr>
        <sz val="11"/>
        <color theme="1"/>
        <rFont val="楷体"/>
        <family val="3"/>
        <charset val="134"/>
      </rPr>
      <t>经典金票比</t>
    </r>
    <phoneticPr fontId="2" type="noConversion"/>
  </si>
  <si>
    <r>
      <rPr>
        <sz val="11"/>
        <color theme="1"/>
        <rFont val="楷体"/>
        <family val="3"/>
        <charset val="134"/>
      </rPr>
      <t>乱斗金票比</t>
    </r>
    <phoneticPr fontId="2" type="noConversion"/>
  </si>
  <si>
    <r>
      <t>33.0</t>
    </r>
    <r>
      <rPr>
        <sz val="11"/>
        <color theme="1"/>
        <rFont val="楷体"/>
        <family val="3"/>
        <charset val="134"/>
      </rPr>
      <t>无大奖</t>
    </r>
    <phoneticPr fontId="2" type="noConversion"/>
  </si>
  <si>
    <r>
      <t>32.4</t>
    </r>
    <r>
      <rPr>
        <sz val="11"/>
        <color theme="1"/>
        <rFont val="楷体"/>
        <family val="3"/>
        <charset val="134"/>
      </rPr>
      <t>无大奖</t>
    </r>
    <phoneticPr fontId="2" type="noConversion"/>
  </si>
  <si>
    <r>
      <rPr>
        <sz val="11"/>
        <color theme="1"/>
        <rFont val="楷体"/>
        <family val="3"/>
        <charset val="134"/>
      </rPr>
      <t>可以自主调节上方胜率</t>
    </r>
    <phoneticPr fontId="2" type="noConversion"/>
  </si>
  <si>
    <r>
      <rPr>
        <sz val="11"/>
        <color theme="1"/>
        <rFont val="楷体"/>
        <family val="3"/>
        <charset val="134"/>
      </rPr>
      <t>汇总</t>
    </r>
    <phoneticPr fontId="2" type="noConversion"/>
  </si>
  <si>
    <r>
      <rPr>
        <sz val="11"/>
        <color theme="1"/>
        <rFont val="楷体"/>
        <family val="3"/>
        <charset val="134"/>
      </rPr>
      <t>期望金</t>
    </r>
    <phoneticPr fontId="2" type="noConversion"/>
  </si>
  <si>
    <r>
      <rPr>
        <sz val="11"/>
        <color theme="1"/>
        <rFont val="楷体"/>
        <family val="3"/>
        <charset val="134"/>
      </rPr>
      <t>金回收率</t>
    </r>
    <phoneticPr fontId="2" type="noConversion"/>
  </si>
  <si>
    <r>
      <rPr>
        <sz val="11"/>
        <color theme="1"/>
        <rFont val="楷体"/>
        <family val="3"/>
        <charset val="134"/>
      </rPr>
      <t>收益率</t>
    </r>
    <phoneticPr fontId="2" type="noConversion"/>
  </si>
  <si>
    <r>
      <rPr>
        <sz val="11"/>
        <color theme="1"/>
        <rFont val="楷体"/>
        <family val="3"/>
        <charset val="134"/>
      </rPr>
      <t>无大奖</t>
    </r>
    <phoneticPr fontId="2" type="noConversion"/>
  </si>
  <si>
    <r>
      <rPr>
        <sz val="11"/>
        <color theme="1"/>
        <rFont val="楷体"/>
        <family val="3"/>
        <charset val="134"/>
      </rPr>
      <t>概率</t>
    </r>
    <phoneticPr fontId="2" type="noConversion"/>
  </si>
  <si>
    <r>
      <rPr>
        <sz val="11"/>
        <color theme="1"/>
        <rFont val="楷体"/>
        <family val="3"/>
        <charset val="134"/>
      </rPr>
      <t>大奖</t>
    </r>
    <phoneticPr fontId="2" type="noConversion"/>
  </si>
  <si>
    <r>
      <t>COMBIN(x+2,2)*A2^(x)*(1-A2)^(2+1)</t>
    </r>
    <r>
      <rPr>
        <sz val="11"/>
        <color theme="1"/>
        <rFont val="楷体"/>
        <family val="3"/>
        <charset val="134"/>
      </rPr>
      <t>，算</t>
    </r>
    <r>
      <rPr>
        <sz val="11"/>
        <color theme="1"/>
        <rFont val="Times New Roman"/>
        <family val="1"/>
      </rPr>
      <t>x-2</t>
    </r>
    <r>
      <rPr>
        <sz val="11"/>
        <color theme="1"/>
        <rFont val="楷体"/>
        <family val="3"/>
        <charset val="134"/>
      </rPr>
      <t>的概率再算输掉最后一场的概率</t>
    </r>
    <phoneticPr fontId="2" type="noConversion"/>
  </si>
  <si>
    <r>
      <rPr>
        <sz val="11"/>
        <color theme="1"/>
        <rFont val="楷体"/>
        <family val="3"/>
        <charset val="134"/>
      </rPr>
      <t>期望概率</t>
    </r>
    <phoneticPr fontId="2" type="noConversion"/>
  </si>
  <si>
    <r>
      <rPr>
        <sz val="11"/>
        <color theme="1"/>
        <rFont val="楷体"/>
        <family val="3"/>
        <charset val="134"/>
      </rPr>
      <t>期望场次</t>
    </r>
    <phoneticPr fontId="2" type="noConversion"/>
  </si>
  <si>
    <r>
      <rPr>
        <sz val="11"/>
        <color theme="1"/>
        <rFont val="楷体"/>
        <family val="3"/>
        <charset val="134"/>
      </rPr>
      <t>输入任意胜率</t>
    </r>
    <phoneticPr fontId="2" type="noConversion"/>
  </si>
  <si>
    <r>
      <t>COMBIN(11+y,y)*A2^(11+1)*(1-A2)^(y)</t>
    </r>
    <r>
      <rPr>
        <sz val="11"/>
        <color theme="1"/>
        <rFont val="楷体"/>
        <family val="3"/>
        <charset val="134"/>
      </rPr>
      <t>，算</t>
    </r>
    <r>
      <rPr>
        <sz val="11"/>
        <color theme="1"/>
        <rFont val="Times New Roman"/>
        <family val="1"/>
      </rPr>
      <t>11-y</t>
    </r>
    <r>
      <rPr>
        <sz val="11"/>
        <color theme="1"/>
        <rFont val="楷体"/>
        <family val="3"/>
        <charset val="134"/>
      </rPr>
      <t>的概率再算赢下最后一场的概率的概率</t>
    </r>
    <phoneticPr fontId="2" type="noConversion"/>
  </si>
  <si>
    <r>
      <rPr>
        <b/>
        <sz val="16"/>
        <color rgb="FFFFFFFF"/>
        <rFont val="楷体"/>
        <family val="3"/>
        <charset val="134"/>
      </rPr>
      <t>胜场</t>
    </r>
  </si>
  <si>
    <r>
      <rPr>
        <b/>
        <sz val="16"/>
        <color rgb="FFFFFFFF"/>
        <rFont val="楷体"/>
        <family val="3"/>
        <charset val="134"/>
      </rPr>
      <t>胜率</t>
    </r>
    <phoneticPr fontId="2" type="noConversion"/>
  </si>
  <si>
    <r>
      <rPr>
        <b/>
        <sz val="16"/>
        <color rgb="FFFFFFFF"/>
        <rFont val="楷体"/>
        <family val="3"/>
        <charset val="134"/>
      </rPr>
      <t>固金</t>
    </r>
    <phoneticPr fontId="2" type="noConversion"/>
  </si>
  <si>
    <r>
      <rPr>
        <b/>
        <sz val="16"/>
        <color rgb="FFFFFFFF"/>
        <rFont val="楷体"/>
        <family val="3"/>
        <charset val="134"/>
      </rPr>
      <t>固包</t>
    </r>
    <phoneticPr fontId="2" type="noConversion"/>
  </si>
  <si>
    <r>
      <rPr>
        <b/>
        <sz val="16"/>
        <color rgb="FFFFFFFF"/>
        <rFont val="楷体"/>
        <family val="3"/>
        <charset val="134"/>
      </rPr>
      <t>固票</t>
    </r>
    <phoneticPr fontId="2" type="noConversion"/>
  </si>
  <si>
    <r>
      <rPr>
        <b/>
        <sz val="16"/>
        <color rgb="FFFFFFFF"/>
        <rFont val="楷体"/>
        <family val="3"/>
        <charset val="134"/>
      </rPr>
      <t>固金包</t>
    </r>
    <phoneticPr fontId="2" type="noConversion"/>
  </si>
  <si>
    <r>
      <rPr>
        <b/>
        <sz val="16"/>
        <color rgb="FFFFFFFF"/>
        <rFont val="楷体"/>
        <family val="3"/>
        <charset val="134"/>
      </rPr>
      <t>随</t>
    </r>
    <r>
      <rPr>
        <b/>
        <sz val="16"/>
        <color rgb="FFFFFFFF"/>
        <rFont val="Times New Roman"/>
        <family val="1"/>
      </rPr>
      <t>1</t>
    </r>
    <r>
      <rPr>
        <b/>
        <sz val="16"/>
        <color rgb="FFFFFFFF"/>
        <rFont val="楷体"/>
        <family val="3"/>
        <charset val="134"/>
      </rPr>
      <t>金</t>
    </r>
    <phoneticPr fontId="2" type="noConversion"/>
  </si>
  <si>
    <r>
      <rPr>
        <b/>
        <sz val="16"/>
        <color rgb="FFFFFFFF"/>
        <rFont val="楷体"/>
        <family val="3"/>
        <charset val="134"/>
      </rPr>
      <t>随</t>
    </r>
    <r>
      <rPr>
        <b/>
        <sz val="16"/>
        <color rgb="FFFFFFFF"/>
        <rFont val="Times New Roman"/>
        <family val="1"/>
      </rPr>
      <t>1</t>
    </r>
    <r>
      <rPr>
        <b/>
        <sz val="16"/>
        <color rgb="FFFFFFFF"/>
        <rFont val="楷体"/>
        <family val="3"/>
        <charset val="134"/>
      </rPr>
      <t>包</t>
    </r>
    <phoneticPr fontId="2" type="noConversion"/>
  </si>
  <si>
    <r>
      <rPr>
        <b/>
        <sz val="16"/>
        <color rgb="FFFFFFFF"/>
        <rFont val="楷体"/>
        <family val="3"/>
        <charset val="134"/>
      </rPr>
      <t>随</t>
    </r>
    <r>
      <rPr>
        <b/>
        <sz val="16"/>
        <color rgb="FFFFFFFF"/>
        <rFont val="Times New Roman"/>
        <family val="1"/>
      </rPr>
      <t>2</t>
    </r>
    <r>
      <rPr>
        <b/>
        <sz val="16"/>
        <color rgb="FFFFFFFF"/>
        <rFont val="楷体"/>
        <family val="3"/>
        <charset val="134"/>
      </rPr>
      <t>包</t>
    </r>
    <phoneticPr fontId="2" type="noConversion"/>
  </si>
  <si>
    <r>
      <t>1000</t>
    </r>
    <r>
      <rPr>
        <b/>
        <sz val="16"/>
        <color rgb="FFFFFFFF"/>
        <rFont val="楷体"/>
        <family val="3"/>
        <charset val="134"/>
      </rPr>
      <t>金</t>
    </r>
  </si>
  <si>
    <r>
      <rPr>
        <b/>
        <sz val="16"/>
        <color rgb="FFFFFFFF"/>
        <rFont val="楷体"/>
        <family val="3"/>
        <charset val="134"/>
      </rPr>
      <t>期望</t>
    </r>
    <r>
      <rPr>
        <b/>
        <sz val="16"/>
        <color rgb="FFFFFFFF"/>
        <rFont val="Times New Roman"/>
        <family val="1"/>
      </rPr>
      <t>(</t>
    </r>
    <r>
      <rPr>
        <b/>
        <sz val="16"/>
        <color rgb="FFFFFFFF"/>
        <rFont val="楷体"/>
        <family val="3"/>
        <charset val="134"/>
      </rPr>
      <t>尘</t>
    </r>
    <r>
      <rPr>
        <b/>
        <sz val="16"/>
        <color rgb="FFFFFFFF"/>
        <rFont val="Times New Roman"/>
        <family val="1"/>
      </rPr>
      <t>)</t>
    </r>
    <phoneticPr fontId="2" type="noConversion"/>
  </si>
  <si>
    <r>
      <rPr>
        <b/>
        <sz val="16"/>
        <color rgb="FFFFFFFF"/>
        <rFont val="楷体"/>
        <family val="3"/>
        <charset val="134"/>
      </rPr>
      <t>收益倍率</t>
    </r>
    <phoneticPr fontId="2" type="noConversion"/>
  </si>
  <si>
    <r>
      <rPr>
        <b/>
        <sz val="16"/>
        <color rgb="FFFFFFFF"/>
        <rFont val="楷体"/>
        <family val="3"/>
        <charset val="134"/>
      </rPr>
      <t>金币</t>
    </r>
    <phoneticPr fontId="2" type="noConversion"/>
  </si>
  <si>
    <r>
      <rPr>
        <b/>
        <sz val="16"/>
        <color rgb="FFFFFFFF"/>
        <rFont val="楷体"/>
        <family val="3"/>
        <charset val="134"/>
      </rPr>
      <t>门票回收</t>
    </r>
    <phoneticPr fontId="2" type="noConversion"/>
  </si>
  <si>
    <r>
      <rPr>
        <b/>
        <sz val="16"/>
        <color rgb="FFFFFFFF"/>
        <rFont val="楷体"/>
        <family val="3"/>
        <charset val="134"/>
      </rPr>
      <t>无大奖金币</t>
    </r>
    <phoneticPr fontId="2" type="noConversion"/>
  </si>
  <si>
    <r>
      <rPr>
        <b/>
        <sz val="16"/>
        <color rgb="FFFFFFFF"/>
        <rFont val="楷体"/>
        <family val="3"/>
        <charset val="134"/>
      </rPr>
      <t>无奖金回收</t>
    </r>
    <phoneticPr fontId="2" type="noConversion"/>
  </si>
  <si>
    <r>
      <rPr>
        <sz val="8"/>
        <color theme="1"/>
        <rFont val="楷体"/>
        <family val="3"/>
        <charset val="134"/>
      </rPr>
      <t>奖励原文</t>
    </r>
    <phoneticPr fontId="2" type="noConversion"/>
  </si>
  <si>
    <r>
      <rPr>
        <sz val="8"/>
        <color theme="1"/>
        <rFont val="楷体"/>
        <family val="3"/>
        <charset val="134"/>
      </rPr>
      <t>固定奖励</t>
    </r>
  </si>
  <si>
    <r>
      <rPr>
        <sz val="8"/>
        <color theme="1"/>
        <rFont val="楷体"/>
        <family val="3"/>
        <charset val="134"/>
      </rPr>
      <t>随机奖励</t>
    </r>
    <r>
      <rPr>
        <b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>(50%)</t>
    </r>
    <phoneticPr fontId="2" type="noConversion"/>
  </si>
  <si>
    <r>
      <rPr>
        <sz val="8"/>
        <color theme="1"/>
        <rFont val="楷体"/>
        <family val="3"/>
        <charset val="134"/>
      </rPr>
      <t>随机奖励</t>
    </r>
    <r>
      <rPr>
        <b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(50%)</t>
    </r>
    <phoneticPr fontId="2" type="noConversion"/>
  </si>
  <si>
    <r>
      <t>2</t>
    </r>
    <r>
      <rPr>
        <sz val="8"/>
        <color theme="1"/>
        <rFont val="楷体"/>
        <family val="3"/>
        <charset val="134"/>
      </rPr>
      <t>包</t>
    </r>
  </si>
  <si>
    <r>
      <t>1</t>
    </r>
    <r>
      <rPr>
        <sz val="8"/>
        <color theme="1"/>
        <rFont val="楷体"/>
        <family val="3"/>
        <charset val="134"/>
      </rPr>
      <t>包</t>
    </r>
  </si>
  <si>
    <r>
      <t>50</t>
    </r>
    <r>
      <rPr>
        <sz val="8"/>
        <color theme="1"/>
        <rFont val="楷体"/>
        <family val="3"/>
        <charset val="134"/>
      </rPr>
      <t>金</t>
    </r>
    <phoneticPr fontId="2" type="noConversion"/>
  </si>
  <si>
    <r>
      <t>1</t>
    </r>
    <r>
      <rPr>
        <sz val="8"/>
        <color theme="1"/>
        <rFont val="楷体"/>
        <family val="3"/>
        <charset val="134"/>
      </rPr>
      <t>包</t>
    </r>
    <phoneticPr fontId="2" type="noConversion"/>
  </si>
  <si>
    <r>
      <t>50-75</t>
    </r>
    <r>
      <rPr>
        <sz val="8"/>
        <color theme="1"/>
        <rFont val="楷体"/>
        <family val="3"/>
        <charset val="134"/>
      </rPr>
      <t>金</t>
    </r>
    <r>
      <rPr>
        <sz val="8"/>
        <color theme="1"/>
        <rFont val="Times New Roman"/>
        <family val="1"/>
      </rPr>
      <t>+1</t>
    </r>
    <r>
      <rPr>
        <sz val="8"/>
        <color theme="1"/>
        <rFont val="楷体"/>
        <family val="3"/>
        <charset val="134"/>
      </rPr>
      <t>包</t>
    </r>
    <phoneticPr fontId="2" type="noConversion"/>
  </si>
  <si>
    <r>
      <t>75-100</t>
    </r>
    <r>
      <rPr>
        <sz val="8"/>
        <color theme="1"/>
        <rFont val="楷体"/>
        <family val="3"/>
        <charset val="134"/>
      </rPr>
      <t>金</t>
    </r>
    <r>
      <rPr>
        <sz val="8"/>
        <color theme="1"/>
        <rFont val="Times New Roman"/>
        <family val="1"/>
      </rPr>
      <t>+1</t>
    </r>
    <r>
      <rPr>
        <sz val="8"/>
        <color theme="1"/>
        <rFont val="楷体"/>
        <family val="3"/>
        <charset val="134"/>
      </rPr>
      <t>包</t>
    </r>
    <phoneticPr fontId="2" type="noConversion"/>
  </si>
  <si>
    <r>
      <t>120-140</t>
    </r>
    <r>
      <rPr>
        <sz val="8"/>
        <color theme="1"/>
        <rFont val="楷体"/>
        <family val="3"/>
        <charset val="134"/>
      </rPr>
      <t>金</t>
    </r>
    <r>
      <rPr>
        <sz val="8"/>
        <color theme="1"/>
        <rFont val="Times New Roman"/>
        <family val="1"/>
      </rPr>
      <t>+1</t>
    </r>
    <r>
      <rPr>
        <sz val="8"/>
        <color theme="1"/>
        <rFont val="楷体"/>
        <family val="3"/>
        <charset val="134"/>
      </rPr>
      <t>包</t>
    </r>
    <phoneticPr fontId="2" type="noConversion"/>
  </si>
  <si>
    <r>
      <t>1</t>
    </r>
    <r>
      <rPr>
        <sz val="8"/>
        <color theme="1"/>
        <rFont val="楷体"/>
        <family val="3"/>
        <charset val="134"/>
      </rPr>
      <t>票</t>
    </r>
    <r>
      <rPr>
        <sz val="8"/>
        <color theme="1"/>
        <rFont val="Times New Roman"/>
        <family val="1"/>
      </rPr>
      <t>+1</t>
    </r>
    <r>
      <rPr>
        <sz val="8"/>
        <color theme="1"/>
        <rFont val="楷体"/>
        <family val="3"/>
        <charset val="134"/>
      </rPr>
      <t>包</t>
    </r>
    <phoneticPr fontId="2" type="noConversion"/>
  </si>
  <si>
    <r>
      <t>50-75</t>
    </r>
    <r>
      <rPr>
        <sz val="8"/>
        <color theme="1"/>
        <rFont val="楷体"/>
        <family val="3"/>
        <charset val="134"/>
      </rPr>
      <t>金</t>
    </r>
    <phoneticPr fontId="2" type="noConversion"/>
  </si>
  <si>
    <r>
      <t>225-250</t>
    </r>
    <r>
      <rPr>
        <sz val="8"/>
        <color theme="1"/>
        <rFont val="楷体"/>
        <family val="3"/>
        <charset val="134"/>
      </rPr>
      <t>金</t>
    </r>
    <phoneticPr fontId="2" type="noConversion"/>
  </si>
  <si>
    <r>
      <t>2</t>
    </r>
    <r>
      <rPr>
        <sz val="8"/>
        <color theme="1"/>
        <rFont val="楷体"/>
        <family val="3"/>
        <charset val="134"/>
      </rPr>
      <t>票</t>
    </r>
    <phoneticPr fontId="2" type="noConversion"/>
  </si>
  <si>
    <r>
      <t>100-125</t>
    </r>
    <r>
      <rPr>
        <sz val="8"/>
        <color theme="1"/>
        <rFont val="楷体"/>
        <family val="3"/>
        <charset val="134"/>
      </rPr>
      <t>金</t>
    </r>
    <phoneticPr fontId="2" type="noConversion"/>
  </si>
  <si>
    <r>
      <t>2</t>
    </r>
    <r>
      <rPr>
        <sz val="8"/>
        <color theme="1"/>
        <rFont val="楷体"/>
        <family val="3"/>
        <charset val="134"/>
      </rPr>
      <t>票</t>
    </r>
    <r>
      <rPr>
        <sz val="8"/>
        <color theme="1"/>
        <rFont val="Times New Roman"/>
        <family val="1"/>
      </rPr>
      <t>+1</t>
    </r>
    <r>
      <rPr>
        <sz val="8"/>
        <color theme="1"/>
        <rFont val="楷体"/>
        <family val="3"/>
        <charset val="134"/>
      </rPr>
      <t>包</t>
    </r>
    <phoneticPr fontId="2" type="noConversion"/>
  </si>
  <si>
    <r>
      <t>125-150</t>
    </r>
    <r>
      <rPr>
        <sz val="8"/>
        <color theme="1"/>
        <rFont val="楷体"/>
        <family val="3"/>
        <charset val="134"/>
      </rPr>
      <t>金</t>
    </r>
    <phoneticPr fontId="2" type="noConversion"/>
  </si>
  <si>
    <r>
      <t>250-275</t>
    </r>
    <r>
      <rPr>
        <sz val="8"/>
        <color theme="1"/>
        <rFont val="楷体"/>
        <family val="3"/>
        <charset val="134"/>
      </rPr>
      <t>金</t>
    </r>
    <phoneticPr fontId="2" type="noConversion"/>
  </si>
  <si>
    <r>
      <t>3</t>
    </r>
    <r>
      <rPr>
        <sz val="8"/>
        <color theme="1"/>
        <rFont val="楷体"/>
        <family val="3"/>
        <charset val="134"/>
      </rPr>
      <t>票</t>
    </r>
    <r>
      <rPr>
        <sz val="8"/>
        <color theme="1"/>
        <rFont val="Times New Roman"/>
        <family val="1"/>
      </rPr>
      <t>+1</t>
    </r>
    <r>
      <rPr>
        <sz val="8"/>
        <color theme="1"/>
        <rFont val="楷体"/>
        <family val="3"/>
        <charset val="134"/>
      </rPr>
      <t>包</t>
    </r>
    <phoneticPr fontId="2" type="noConversion"/>
  </si>
  <si>
    <r>
      <t>150-175</t>
    </r>
    <r>
      <rPr>
        <sz val="8"/>
        <color theme="1"/>
        <rFont val="楷体"/>
        <family val="3"/>
        <charset val="134"/>
      </rPr>
      <t>金</t>
    </r>
    <phoneticPr fontId="2" type="noConversion"/>
  </si>
  <si>
    <r>
      <t>2</t>
    </r>
    <r>
      <rPr>
        <sz val="8"/>
        <color theme="1"/>
        <rFont val="楷体"/>
        <family val="3"/>
        <charset val="134"/>
      </rPr>
      <t>包</t>
    </r>
    <phoneticPr fontId="2" type="noConversion"/>
  </si>
  <si>
    <r>
      <t>375-425</t>
    </r>
    <r>
      <rPr>
        <sz val="8"/>
        <color theme="1"/>
        <rFont val="楷体"/>
        <family val="3"/>
        <charset val="134"/>
      </rPr>
      <t>金</t>
    </r>
    <phoneticPr fontId="2" type="noConversion"/>
  </si>
  <si>
    <r>
      <t>4</t>
    </r>
    <r>
      <rPr>
        <sz val="8"/>
        <color theme="1"/>
        <rFont val="楷体"/>
        <family val="3"/>
        <charset val="134"/>
      </rPr>
      <t>票</t>
    </r>
    <r>
      <rPr>
        <sz val="8"/>
        <color theme="1"/>
        <rFont val="Times New Roman"/>
        <family val="1"/>
      </rPr>
      <t>+2</t>
    </r>
    <r>
      <rPr>
        <sz val="8"/>
        <color theme="1"/>
        <rFont val="楷体"/>
        <family val="3"/>
        <charset val="134"/>
      </rPr>
      <t>金包</t>
    </r>
    <r>
      <rPr>
        <sz val="8"/>
        <color theme="1"/>
        <rFont val="Times New Roman"/>
        <family val="1"/>
      </rPr>
      <t>*</t>
    </r>
    <phoneticPr fontId="2" type="noConversion"/>
  </si>
  <si>
    <r>
      <t>250-300</t>
    </r>
    <r>
      <rPr>
        <sz val="8"/>
        <color theme="1"/>
        <rFont val="楷体"/>
        <family val="3"/>
        <charset val="134"/>
      </rPr>
      <t>金</t>
    </r>
    <phoneticPr fontId="2" type="noConversion"/>
  </si>
  <si>
    <r>
      <t>3</t>
    </r>
    <r>
      <rPr>
        <sz val="8"/>
        <color theme="1"/>
        <rFont val="楷体"/>
        <family val="3"/>
        <charset val="134"/>
      </rPr>
      <t>包</t>
    </r>
    <phoneticPr fontId="2" type="noConversion"/>
  </si>
  <si>
    <r>
      <t>300-325</t>
    </r>
    <r>
      <rPr>
        <sz val="8"/>
        <color theme="1"/>
        <rFont val="楷体"/>
        <family val="3"/>
        <charset val="134"/>
      </rPr>
      <t>金</t>
    </r>
    <phoneticPr fontId="2" type="noConversion"/>
  </si>
  <si>
    <r>
      <t>325-350</t>
    </r>
    <r>
      <rPr>
        <sz val="8"/>
        <color theme="1"/>
        <rFont val="楷体"/>
        <family val="3"/>
        <charset val="134"/>
      </rPr>
      <t>金</t>
    </r>
    <phoneticPr fontId="2" type="noConversion"/>
  </si>
  <si>
    <r>
      <rPr>
        <b/>
        <sz val="16"/>
        <color rgb="FFFFFFFF"/>
        <rFont val="楷体"/>
        <family val="3"/>
        <charset val="134"/>
      </rPr>
      <t>随</t>
    </r>
    <r>
      <rPr>
        <b/>
        <sz val="16"/>
        <color rgb="FFFFFFFF"/>
        <rFont val="Times New Roman"/>
        <family val="1"/>
      </rPr>
      <t>1</t>
    </r>
    <r>
      <rPr>
        <b/>
        <sz val="16"/>
        <color rgb="FFFFFFFF"/>
        <rFont val="楷体"/>
        <family val="3"/>
        <charset val="134"/>
      </rPr>
      <t>尘</t>
    </r>
    <phoneticPr fontId="2" type="noConversion"/>
  </si>
  <si>
    <r>
      <rPr>
        <b/>
        <sz val="16"/>
        <color rgb="FFFFFFFF"/>
        <rFont val="楷体"/>
        <family val="3"/>
        <charset val="134"/>
      </rPr>
      <t>随</t>
    </r>
    <r>
      <rPr>
        <b/>
        <sz val="16"/>
        <color rgb="FFFFFFFF"/>
        <rFont val="Times New Roman"/>
        <family val="1"/>
      </rPr>
      <t>2</t>
    </r>
    <r>
      <rPr>
        <b/>
        <sz val="16"/>
        <color rgb="FFFFFFFF"/>
        <rFont val="楷体"/>
        <family val="3"/>
        <charset val="134"/>
      </rPr>
      <t>尘</t>
    </r>
    <phoneticPr fontId="2" type="noConversion"/>
  </si>
  <si>
    <r>
      <rPr>
        <sz val="16"/>
        <color theme="1"/>
        <rFont val="楷体"/>
        <family val="3"/>
        <charset val="134"/>
      </rPr>
      <t>注</t>
    </r>
    <r>
      <rPr>
        <sz val="16"/>
        <color theme="1"/>
        <rFont val="Times New Roman"/>
        <family val="1"/>
      </rPr>
      <t>:12</t>
    </r>
    <r>
      <rPr>
        <sz val="16"/>
        <color theme="1"/>
        <rFont val="楷体"/>
        <family val="3"/>
        <charset val="134"/>
      </rPr>
      <t>胜时随机奖励</t>
    </r>
    <r>
      <rPr>
        <sz val="16"/>
        <color theme="1"/>
        <rFont val="Times New Roman"/>
        <family val="1"/>
      </rPr>
      <t>2</t>
    </r>
    <r>
      <rPr>
        <sz val="16"/>
        <color theme="1"/>
        <rFont val="楷体"/>
        <family val="3"/>
        <charset val="134"/>
      </rPr>
      <t>的概率为</t>
    </r>
    <r>
      <rPr>
        <sz val="16"/>
        <color theme="1"/>
        <rFont val="Times New Roman"/>
        <family val="1"/>
      </rPr>
      <t>(20%-5%y)</t>
    </r>
    <phoneticPr fontId="2" type="noConversion"/>
  </si>
  <si>
    <r>
      <t>2000</t>
    </r>
    <r>
      <rPr>
        <b/>
        <sz val="16"/>
        <color rgb="FFFFFFFF"/>
        <rFont val="楷体"/>
        <family val="3"/>
        <charset val="134"/>
      </rPr>
      <t>金</t>
    </r>
    <phoneticPr fontId="2" type="noConversion"/>
  </si>
  <si>
    <r>
      <rPr>
        <b/>
        <sz val="16"/>
        <color rgb="FFFFFFFF"/>
        <rFont val="楷体"/>
        <family val="3"/>
        <charset val="134"/>
      </rPr>
      <t>金回收</t>
    </r>
    <phoneticPr fontId="2" type="noConversion"/>
  </si>
  <si>
    <r>
      <rPr>
        <b/>
        <sz val="16"/>
        <color rgb="FFFFFFFF"/>
        <rFont val="楷体"/>
        <family val="3"/>
        <charset val="134"/>
      </rPr>
      <t>无奖金币</t>
    </r>
    <phoneticPr fontId="2" type="noConversion"/>
  </si>
  <si>
    <r>
      <rPr>
        <sz val="16"/>
        <color theme="1"/>
        <rFont val="楷体"/>
        <family val="3"/>
        <charset val="134"/>
      </rPr>
      <t>排除</t>
    </r>
    <r>
      <rPr>
        <sz val="16"/>
        <color theme="1"/>
        <rFont val="Times New Roman"/>
        <family val="1"/>
      </rPr>
      <t>2000</t>
    </r>
    <r>
      <rPr>
        <sz val="16"/>
        <color theme="1"/>
        <rFont val="楷体"/>
        <family val="3"/>
        <charset val="134"/>
      </rPr>
      <t>金</t>
    </r>
    <phoneticPr fontId="2" type="noConversion"/>
  </si>
  <si>
    <r>
      <t>30-40</t>
    </r>
    <r>
      <rPr>
        <sz val="8"/>
        <color theme="1"/>
        <rFont val="楷体"/>
        <family val="3"/>
        <charset val="134"/>
      </rPr>
      <t>金</t>
    </r>
    <r>
      <rPr>
        <sz val="8"/>
        <color theme="1"/>
        <rFont val="Times New Roman"/>
        <family val="1"/>
      </rPr>
      <t>+1</t>
    </r>
    <r>
      <rPr>
        <sz val="8"/>
        <color theme="1"/>
        <rFont val="楷体"/>
        <family val="3"/>
        <charset val="134"/>
      </rPr>
      <t>包</t>
    </r>
  </si>
  <si>
    <r>
      <t>45-80</t>
    </r>
    <r>
      <rPr>
        <sz val="8"/>
        <color theme="1"/>
        <rFont val="楷体"/>
        <family val="3"/>
        <charset val="134"/>
      </rPr>
      <t>金</t>
    </r>
    <r>
      <rPr>
        <sz val="8"/>
        <color theme="1"/>
        <rFont val="Times New Roman"/>
        <family val="1"/>
      </rPr>
      <t>+1</t>
    </r>
    <r>
      <rPr>
        <sz val="8"/>
        <color theme="1"/>
        <rFont val="楷体"/>
        <family val="3"/>
        <charset val="134"/>
      </rPr>
      <t>包</t>
    </r>
  </si>
  <si>
    <r>
      <t>95-115</t>
    </r>
    <r>
      <rPr>
        <sz val="8"/>
        <color theme="1"/>
        <rFont val="楷体"/>
        <family val="3"/>
        <charset val="134"/>
      </rPr>
      <t>金</t>
    </r>
    <r>
      <rPr>
        <sz val="8"/>
        <color theme="1"/>
        <rFont val="Times New Roman"/>
        <family val="1"/>
      </rPr>
      <t>+1</t>
    </r>
    <r>
      <rPr>
        <sz val="8"/>
        <color theme="1"/>
        <rFont val="楷体"/>
        <family val="3"/>
        <charset val="134"/>
      </rPr>
      <t>包</t>
    </r>
  </si>
  <si>
    <r>
      <t>1</t>
    </r>
    <r>
      <rPr>
        <sz val="8"/>
        <color theme="1"/>
        <rFont val="楷体"/>
        <family val="3"/>
        <charset val="134"/>
      </rPr>
      <t>票</t>
    </r>
    <r>
      <rPr>
        <sz val="8"/>
        <color theme="1"/>
        <rFont val="Times New Roman"/>
        <family val="1"/>
      </rPr>
      <t>+2</t>
    </r>
    <r>
      <rPr>
        <sz val="8"/>
        <color theme="1"/>
        <rFont val="楷体"/>
        <family val="3"/>
        <charset val="134"/>
      </rPr>
      <t>包</t>
    </r>
  </si>
  <si>
    <r>
      <t>45-55</t>
    </r>
    <r>
      <rPr>
        <sz val="8"/>
        <color theme="1"/>
        <rFont val="楷体"/>
        <family val="3"/>
        <charset val="134"/>
      </rPr>
      <t>尘</t>
    </r>
  </si>
  <si>
    <r>
      <t>1</t>
    </r>
    <r>
      <rPr>
        <sz val="8"/>
        <color theme="1"/>
        <rFont val="楷体"/>
        <family val="3"/>
        <charset val="134"/>
      </rPr>
      <t>普通稀有</t>
    </r>
    <phoneticPr fontId="2" type="noConversion"/>
  </si>
  <si>
    <r>
      <t>1</t>
    </r>
    <r>
      <rPr>
        <sz val="8"/>
        <color theme="1"/>
        <rFont val="楷体"/>
        <family val="3"/>
        <charset val="134"/>
      </rPr>
      <t>票</t>
    </r>
  </si>
  <si>
    <r>
      <t>1</t>
    </r>
    <r>
      <rPr>
        <sz val="8"/>
        <color theme="1"/>
        <rFont val="楷体"/>
        <family val="3"/>
        <charset val="134"/>
      </rPr>
      <t>普通史诗</t>
    </r>
    <phoneticPr fontId="2" type="noConversion"/>
  </si>
  <si>
    <r>
      <t>2</t>
    </r>
    <r>
      <rPr>
        <sz val="8"/>
        <color theme="1"/>
        <rFont val="楷体"/>
        <family val="3"/>
        <charset val="134"/>
      </rPr>
      <t>票</t>
    </r>
    <r>
      <rPr>
        <sz val="8"/>
        <color theme="1"/>
        <rFont val="Times New Roman"/>
        <family val="1"/>
      </rPr>
      <t>+2</t>
    </r>
    <r>
      <rPr>
        <sz val="8"/>
        <color theme="1"/>
        <rFont val="楷体"/>
        <family val="3"/>
        <charset val="134"/>
      </rPr>
      <t>包</t>
    </r>
  </si>
  <si>
    <r>
      <t>1-2</t>
    </r>
    <r>
      <rPr>
        <sz val="8"/>
        <color theme="1"/>
        <rFont val="楷体"/>
        <family val="3"/>
        <charset val="134"/>
      </rPr>
      <t>包</t>
    </r>
  </si>
  <si>
    <r>
      <t>2</t>
    </r>
    <r>
      <rPr>
        <sz val="8"/>
        <color theme="1"/>
        <rFont val="楷体"/>
        <family val="3"/>
        <charset val="134"/>
      </rPr>
      <t>普通史诗</t>
    </r>
    <phoneticPr fontId="2" type="noConversion"/>
  </si>
  <si>
    <r>
      <t>2</t>
    </r>
    <r>
      <rPr>
        <sz val="8"/>
        <color theme="1"/>
        <rFont val="楷体"/>
        <family val="3"/>
        <charset val="134"/>
      </rPr>
      <t>票</t>
    </r>
    <r>
      <rPr>
        <sz val="8"/>
        <color theme="1"/>
        <rFont val="Times New Roman"/>
        <family val="1"/>
      </rPr>
      <t>+3</t>
    </r>
    <r>
      <rPr>
        <sz val="8"/>
        <color theme="1"/>
        <rFont val="楷体"/>
        <family val="3"/>
        <charset val="134"/>
      </rPr>
      <t>包</t>
    </r>
  </si>
  <si>
    <r>
      <t>220-270</t>
    </r>
    <r>
      <rPr>
        <sz val="8"/>
        <color theme="1"/>
        <rFont val="楷体"/>
        <family val="3"/>
        <charset val="134"/>
      </rPr>
      <t>尘</t>
    </r>
  </si>
  <si>
    <r>
      <t>2</t>
    </r>
    <r>
      <rPr>
        <sz val="8"/>
        <color theme="1"/>
        <rFont val="楷体"/>
        <family val="3"/>
        <charset val="134"/>
      </rPr>
      <t>新包</t>
    </r>
  </si>
  <si>
    <r>
      <t>1</t>
    </r>
    <r>
      <rPr>
        <sz val="8"/>
        <color theme="1"/>
        <rFont val="楷体"/>
        <family val="3"/>
        <charset val="134"/>
      </rPr>
      <t>普通传说</t>
    </r>
    <phoneticPr fontId="2" type="noConversion"/>
  </si>
  <si>
    <r>
      <t>2</t>
    </r>
    <r>
      <rPr>
        <sz val="8"/>
        <color theme="1"/>
        <rFont val="楷体"/>
        <family val="3"/>
        <charset val="134"/>
      </rPr>
      <t>票</t>
    </r>
    <r>
      <rPr>
        <sz val="8"/>
        <color theme="1"/>
        <rFont val="Times New Roman"/>
        <family val="1"/>
      </rPr>
      <t>+4</t>
    </r>
    <r>
      <rPr>
        <sz val="8"/>
        <color theme="1"/>
        <rFont val="楷体"/>
        <family val="3"/>
        <charset val="134"/>
      </rPr>
      <t>包</t>
    </r>
  </si>
  <si>
    <r>
      <t>1</t>
    </r>
    <r>
      <rPr>
        <sz val="8"/>
        <color theme="1"/>
        <rFont val="楷体"/>
        <family val="3"/>
        <charset val="134"/>
      </rPr>
      <t>金包</t>
    </r>
  </si>
  <si>
    <r>
      <t>1</t>
    </r>
    <r>
      <rPr>
        <sz val="8"/>
        <color theme="1"/>
        <rFont val="楷体"/>
        <family val="3"/>
        <charset val="134"/>
      </rPr>
      <t>金色史诗</t>
    </r>
    <phoneticPr fontId="2" type="noConversion"/>
  </si>
  <si>
    <r>
      <t>2</t>
    </r>
    <r>
      <rPr>
        <sz val="8"/>
        <color theme="1"/>
        <rFont val="楷体"/>
        <family val="3"/>
        <charset val="134"/>
      </rPr>
      <t>票</t>
    </r>
    <r>
      <rPr>
        <sz val="8"/>
        <color theme="1"/>
        <rFont val="Times New Roman"/>
        <family val="1"/>
      </rPr>
      <t>+1</t>
    </r>
    <r>
      <rPr>
        <sz val="8"/>
        <color theme="1"/>
        <rFont val="楷体"/>
        <family val="3"/>
        <charset val="134"/>
      </rPr>
      <t>金包</t>
    </r>
    <r>
      <rPr>
        <sz val="8"/>
        <color theme="1"/>
        <rFont val="Times New Roman"/>
        <family val="1"/>
      </rPr>
      <t>+3</t>
    </r>
    <r>
      <rPr>
        <sz val="8"/>
        <color theme="1"/>
        <rFont val="楷体"/>
        <family val="3"/>
        <charset val="134"/>
      </rPr>
      <t>包</t>
    </r>
  </si>
  <si>
    <r>
      <t>2</t>
    </r>
    <r>
      <rPr>
        <sz val="8"/>
        <color theme="1"/>
        <rFont val="楷体"/>
        <family val="3"/>
        <charset val="134"/>
      </rPr>
      <t>票</t>
    </r>
    <r>
      <rPr>
        <sz val="8"/>
        <color theme="1"/>
        <rFont val="Times New Roman"/>
        <family val="1"/>
      </rPr>
      <t>+3</t>
    </r>
    <r>
      <rPr>
        <sz val="8"/>
        <color theme="1"/>
        <rFont val="楷体"/>
        <family val="3"/>
        <charset val="134"/>
      </rPr>
      <t>包</t>
    </r>
    <r>
      <rPr>
        <sz val="8"/>
        <color theme="1"/>
        <rFont val="Times New Roman"/>
        <family val="1"/>
      </rPr>
      <t>+2</t>
    </r>
    <r>
      <rPr>
        <sz val="8"/>
        <color theme="1"/>
        <rFont val="楷体"/>
        <family val="3"/>
        <charset val="134"/>
      </rPr>
      <t>金包</t>
    </r>
    <r>
      <rPr>
        <sz val="8"/>
        <color theme="1"/>
        <rFont val="Times New Roman"/>
        <family val="1"/>
      </rPr>
      <t>*</t>
    </r>
  </si>
  <si>
    <r>
      <t>1</t>
    </r>
    <r>
      <rPr>
        <sz val="8"/>
        <color theme="1"/>
        <rFont val="楷体"/>
        <family val="3"/>
        <charset val="134"/>
      </rPr>
      <t>包（</t>
    </r>
    <r>
      <rPr>
        <sz val="8"/>
        <color theme="1"/>
        <rFont val="Times New Roman"/>
        <family val="1"/>
      </rPr>
      <t>90%</t>
    </r>
    <r>
      <rPr>
        <sz val="8"/>
        <color theme="1"/>
        <rFont val="楷体"/>
        <family val="3"/>
        <charset val="134"/>
      </rPr>
      <t>）</t>
    </r>
  </si>
  <si>
    <r>
      <t>1</t>
    </r>
    <r>
      <rPr>
        <sz val="8"/>
        <color theme="1"/>
        <rFont val="楷体"/>
        <family val="3"/>
        <charset val="134"/>
      </rPr>
      <t>金色传说</t>
    </r>
    <r>
      <rPr>
        <sz val="8"/>
        <color theme="1"/>
        <rFont val="Times New Roman"/>
        <family val="1"/>
      </rPr>
      <t>(10%)</t>
    </r>
    <phoneticPr fontId="2" type="noConversion"/>
  </si>
  <si>
    <r>
      <t>2</t>
    </r>
    <r>
      <rPr>
        <sz val="8"/>
        <color theme="1"/>
        <rFont val="楷体"/>
        <family val="3"/>
        <charset val="134"/>
      </rPr>
      <t>票</t>
    </r>
    <r>
      <rPr>
        <sz val="8"/>
        <color theme="1"/>
        <rFont val="Times New Roman"/>
        <family val="1"/>
      </rPr>
      <t>+3</t>
    </r>
    <r>
      <rPr>
        <sz val="8"/>
        <color theme="1"/>
        <rFont val="楷体"/>
        <family val="3"/>
        <charset val="134"/>
      </rPr>
      <t>包</t>
    </r>
    <r>
      <rPr>
        <sz val="8"/>
        <color theme="1"/>
        <rFont val="Times New Roman"/>
        <family val="1"/>
      </rPr>
      <t>+2</t>
    </r>
    <r>
      <rPr>
        <sz val="8"/>
        <color theme="1"/>
        <rFont val="楷体"/>
        <family val="3"/>
        <charset val="134"/>
      </rPr>
      <t>金包</t>
    </r>
  </si>
  <si>
    <r>
      <t>1</t>
    </r>
    <r>
      <rPr>
        <sz val="8"/>
        <color theme="1"/>
        <rFont val="楷体"/>
        <family val="3"/>
        <charset val="134"/>
      </rPr>
      <t>包（</t>
    </r>
    <r>
      <rPr>
        <sz val="8"/>
        <color theme="1"/>
        <rFont val="Times New Roman"/>
        <family val="1"/>
      </rPr>
      <t>85%</t>
    </r>
    <r>
      <rPr>
        <sz val="8"/>
        <color theme="1"/>
        <rFont val="楷体"/>
        <family val="3"/>
        <charset val="134"/>
      </rPr>
      <t>）</t>
    </r>
  </si>
  <si>
    <r>
      <t>1</t>
    </r>
    <r>
      <rPr>
        <sz val="8"/>
        <color theme="1"/>
        <rFont val="楷体"/>
        <family val="3"/>
        <charset val="134"/>
      </rPr>
      <t>金色传说</t>
    </r>
    <r>
      <rPr>
        <sz val="8"/>
        <color theme="1"/>
        <rFont val="Times New Roman"/>
        <family val="1"/>
      </rPr>
      <t>(15%)</t>
    </r>
    <phoneticPr fontId="2" type="noConversion"/>
  </si>
  <si>
    <r>
      <t>1</t>
    </r>
    <r>
      <rPr>
        <sz val="8"/>
        <color theme="1"/>
        <rFont val="楷体"/>
        <family val="3"/>
        <charset val="134"/>
      </rPr>
      <t>包（</t>
    </r>
    <r>
      <rPr>
        <sz val="8"/>
        <color theme="1"/>
        <rFont val="Times New Roman"/>
        <family val="1"/>
      </rPr>
      <t>80%</t>
    </r>
    <r>
      <rPr>
        <sz val="8"/>
        <color theme="1"/>
        <rFont val="楷体"/>
        <family val="3"/>
        <charset val="134"/>
      </rPr>
      <t>）</t>
    </r>
  </si>
  <si>
    <r>
      <t>1</t>
    </r>
    <r>
      <rPr>
        <sz val="8"/>
        <color theme="1"/>
        <rFont val="楷体"/>
        <family val="3"/>
        <charset val="134"/>
      </rPr>
      <t>金色传说</t>
    </r>
    <r>
      <rPr>
        <sz val="8"/>
        <color theme="1"/>
        <rFont val="Times New Roman"/>
        <family val="1"/>
      </rPr>
      <t>(20%)</t>
    </r>
    <phoneticPr fontId="2" type="noConversion"/>
  </si>
  <si>
    <r>
      <rPr>
        <b/>
        <sz val="16"/>
        <color rgb="FFFFFFFF"/>
        <rFont val="楷体"/>
        <family val="3"/>
        <charset val="134"/>
      </rPr>
      <t>随</t>
    </r>
    <r>
      <rPr>
        <b/>
        <sz val="16"/>
        <color rgb="FFFFFFFF"/>
        <rFont val="Times New Roman"/>
        <family val="1"/>
      </rPr>
      <t>a</t>
    </r>
    <r>
      <rPr>
        <b/>
        <sz val="16"/>
        <color rgb="FFFFFFFF"/>
        <rFont val="楷体"/>
        <family val="3"/>
        <charset val="134"/>
      </rPr>
      <t>金</t>
    </r>
    <phoneticPr fontId="2" type="noConversion"/>
  </si>
  <si>
    <r>
      <rPr>
        <sz val="16"/>
        <color theme="1"/>
        <rFont val="楷体"/>
        <family val="3"/>
        <charset val="134"/>
      </rPr>
      <t>随机奖励</t>
    </r>
    <r>
      <rPr>
        <sz val="16"/>
        <color theme="1"/>
        <rFont val="Times New Roman"/>
        <family val="1"/>
      </rPr>
      <t>a</t>
    </r>
    <r>
      <rPr>
        <sz val="16"/>
        <color theme="1"/>
        <rFont val="楷体"/>
        <family val="3"/>
        <charset val="134"/>
      </rPr>
      <t>中获取金币的概率约为</t>
    </r>
    <r>
      <rPr>
        <sz val="16"/>
        <color theme="1"/>
        <rFont val="Times New Roman"/>
        <family val="1"/>
      </rPr>
      <t>33%</t>
    </r>
  </si>
  <si>
    <r>
      <rPr>
        <b/>
        <sz val="16"/>
        <color rgb="FFFFFFFF"/>
        <rFont val="楷体"/>
        <family val="3"/>
        <charset val="134"/>
      </rPr>
      <t>随</t>
    </r>
    <r>
      <rPr>
        <b/>
        <sz val="16"/>
        <color rgb="FFFFFFFF"/>
        <rFont val="Times New Roman"/>
        <family val="1"/>
      </rPr>
      <t>b</t>
    </r>
    <r>
      <rPr>
        <b/>
        <sz val="16"/>
        <color rgb="FFFFFFFF"/>
        <rFont val="楷体"/>
        <family val="3"/>
        <charset val="134"/>
      </rPr>
      <t>金</t>
    </r>
    <phoneticPr fontId="2" type="noConversion"/>
  </si>
  <si>
    <r>
      <rPr>
        <sz val="16"/>
        <color theme="1"/>
        <rFont val="楷体"/>
        <family val="3"/>
        <charset val="134"/>
      </rPr>
      <t>随机奖励</t>
    </r>
    <r>
      <rPr>
        <sz val="16"/>
        <color theme="1"/>
        <rFont val="Times New Roman"/>
        <family val="1"/>
      </rPr>
      <t>b</t>
    </r>
    <r>
      <rPr>
        <sz val="16"/>
        <color theme="1"/>
        <rFont val="楷体"/>
        <family val="3"/>
        <charset val="134"/>
      </rPr>
      <t>中获取金币的概率约为</t>
    </r>
    <r>
      <rPr>
        <sz val="16"/>
        <color theme="1"/>
        <rFont val="Times New Roman"/>
        <family val="1"/>
      </rPr>
      <t>50%</t>
    </r>
  </si>
  <si>
    <r>
      <rPr>
        <b/>
        <sz val="16"/>
        <color rgb="FFFFFFFF"/>
        <rFont val="楷体"/>
        <family val="3"/>
        <charset val="134"/>
      </rPr>
      <t>期望金</t>
    </r>
    <phoneticPr fontId="2" type="noConversion"/>
  </si>
  <si>
    <r>
      <rPr>
        <sz val="6"/>
        <color theme="1"/>
        <rFont val="楷体"/>
        <family val="3"/>
        <charset val="134"/>
      </rPr>
      <t>奖励原文</t>
    </r>
    <phoneticPr fontId="2" type="noConversion"/>
  </si>
  <si>
    <r>
      <rPr>
        <sz val="6"/>
        <color theme="1"/>
        <rFont val="楷体"/>
        <family val="3"/>
        <charset val="134"/>
      </rPr>
      <t>奖励</t>
    </r>
    <phoneticPr fontId="2" type="noConversion"/>
  </si>
  <si>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a</t>
    </r>
    <phoneticPr fontId="2" type="noConversion"/>
  </si>
  <si>
    <r>
      <rPr>
        <sz val="6"/>
        <color theme="1"/>
        <rFont val="楷体"/>
        <family val="3"/>
        <charset val="134"/>
      </rPr>
      <t>随机奖励</t>
    </r>
    <r>
      <rPr>
        <b/>
        <sz val="6"/>
        <color theme="1"/>
        <rFont val="Times New Roman"/>
        <family val="1"/>
      </rPr>
      <t>b</t>
    </r>
    <phoneticPr fontId="2" type="noConversion"/>
  </si>
  <si>
    <r>
      <t>1</t>
    </r>
    <r>
      <rPr>
        <sz val="6"/>
        <color theme="1"/>
        <rFont val="楷体"/>
        <family val="3"/>
        <charset val="134"/>
      </rPr>
      <t>包</t>
    </r>
    <r>
      <rPr>
        <sz val="6"/>
        <color theme="1"/>
        <rFont val="Times New Roman"/>
        <family val="1"/>
      </rPr>
      <t>+</t>
    </r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a</t>
    </r>
    <phoneticPr fontId="2" type="noConversion"/>
  </si>
  <si>
    <r>
      <t>25-30</t>
    </r>
    <r>
      <rPr>
        <sz val="6"/>
        <color theme="1"/>
        <rFont val="楷体"/>
        <family val="3"/>
        <charset val="134"/>
      </rPr>
      <t>金</t>
    </r>
    <r>
      <rPr>
        <sz val="6"/>
        <color theme="1"/>
        <rFont val="Times New Roman"/>
        <family val="1"/>
      </rPr>
      <t>/25-30</t>
    </r>
    <r>
      <rPr>
        <sz val="6"/>
        <color theme="1"/>
        <rFont val="楷体"/>
        <family val="3"/>
        <charset val="134"/>
      </rPr>
      <t>尘</t>
    </r>
    <r>
      <rPr>
        <sz val="6"/>
        <color theme="1"/>
        <rFont val="Times New Roman"/>
        <family val="1"/>
      </rPr>
      <t>/</t>
    </r>
    <r>
      <rPr>
        <sz val="6"/>
        <color theme="1"/>
        <rFont val="楷体"/>
        <family val="3"/>
        <charset val="134"/>
      </rPr>
      <t>普通普通</t>
    </r>
    <phoneticPr fontId="2" type="noConversion"/>
  </si>
  <si>
    <r>
      <t>30-35</t>
    </r>
    <r>
      <rPr>
        <sz val="6"/>
        <color theme="1"/>
        <rFont val="楷体"/>
        <family val="3"/>
        <charset val="134"/>
      </rPr>
      <t>金</t>
    </r>
    <r>
      <rPr>
        <sz val="6"/>
        <color theme="1"/>
        <rFont val="Times New Roman"/>
        <family val="1"/>
      </rPr>
      <t>/30-35</t>
    </r>
    <r>
      <rPr>
        <sz val="6"/>
        <color theme="1"/>
        <rFont val="楷体"/>
        <family val="3"/>
        <charset val="134"/>
      </rPr>
      <t>尘</t>
    </r>
    <r>
      <rPr>
        <sz val="6"/>
        <color theme="1"/>
        <rFont val="Times New Roman"/>
        <family val="1"/>
      </rPr>
      <t>/</t>
    </r>
    <r>
      <rPr>
        <sz val="6"/>
        <color theme="1"/>
        <rFont val="楷体"/>
        <family val="3"/>
        <charset val="134"/>
      </rPr>
      <t>普通普通</t>
    </r>
    <phoneticPr fontId="2" type="noConversion"/>
  </si>
  <si>
    <r>
      <t>40-50</t>
    </r>
    <r>
      <rPr>
        <sz val="6"/>
        <color theme="1"/>
        <rFont val="楷体"/>
        <family val="3"/>
        <charset val="134"/>
      </rPr>
      <t>金</t>
    </r>
    <r>
      <rPr>
        <sz val="6"/>
        <color theme="1"/>
        <rFont val="Times New Roman"/>
        <family val="1"/>
      </rPr>
      <t>/40-50</t>
    </r>
    <r>
      <rPr>
        <sz val="6"/>
        <color theme="1"/>
        <rFont val="楷体"/>
        <family val="3"/>
        <charset val="134"/>
      </rPr>
      <t>尘</t>
    </r>
    <r>
      <rPr>
        <sz val="6"/>
        <color theme="1"/>
        <rFont val="Times New Roman"/>
        <family val="1"/>
      </rPr>
      <t>/</t>
    </r>
    <r>
      <rPr>
        <sz val="6"/>
        <color theme="1"/>
        <rFont val="楷体"/>
        <family val="3"/>
        <charset val="134"/>
      </rPr>
      <t>普通普通</t>
    </r>
    <r>
      <rPr>
        <sz val="6"/>
        <color theme="1"/>
        <rFont val="Times New Roman"/>
        <family val="1"/>
      </rPr>
      <t>/</t>
    </r>
    <r>
      <rPr>
        <sz val="6"/>
        <color theme="1"/>
        <rFont val="楷体"/>
        <family val="3"/>
        <charset val="134"/>
      </rPr>
      <t>普通稀有</t>
    </r>
    <phoneticPr fontId="2" type="noConversion"/>
  </si>
  <si>
    <r>
      <t>1</t>
    </r>
    <r>
      <rPr>
        <sz val="6"/>
        <color theme="1"/>
        <rFont val="楷体"/>
        <family val="3"/>
        <charset val="134"/>
      </rPr>
      <t>包</t>
    </r>
    <r>
      <rPr>
        <sz val="6"/>
        <color theme="1"/>
        <rFont val="Times New Roman"/>
        <family val="1"/>
      </rPr>
      <t>+</t>
    </r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a+25-35</t>
    </r>
    <r>
      <rPr>
        <sz val="6"/>
        <color theme="1"/>
        <rFont val="楷体"/>
        <family val="3"/>
        <charset val="134"/>
      </rPr>
      <t>金</t>
    </r>
  </si>
  <si>
    <r>
      <t>20-25</t>
    </r>
    <r>
      <rPr>
        <sz val="6"/>
        <color theme="1"/>
        <rFont val="楷体"/>
        <family val="3"/>
        <charset val="134"/>
      </rPr>
      <t>金</t>
    </r>
    <r>
      <rPr>
        <sz val="6"/>
        <color theme="1"/>
        <rFont val="Times New Roman"/>
        <family val="1"/>
      </rPr>
      <t>/10-25</t>
    </r>
    <r>
      <rPr>
        <sz val="6"/>
        <color theme="1"/>
        <rFont val="楷体"/>
        <family val="3"/>
        <charset val="134"/>
      </rPr>
      <t>尘</t>
    </r>
    <r>
      <rPr>
        <sz val="6"/>
        <color theme="1"/>
        <rFont val="Times New Roman"/>
        <family val="1"/>
      </rPr>
      <t>/</t>
    </r>
    <r>
      <rPr>
        <sz val="6"/>
        <color theme="1"/>
        <rFont val="楷体"/>
        <family val="3"/>
        <charset val="134"/>
      </rPr>
      <t>普通稀有</t>
    </r>
    <phoneticPr fontId="2" type="noConversion"/>
  </si>
  <si>
    <r>
      <t>1</t>
    </r>
    <r>
      <rPr>
        <sz val="6"/>
        <color theme="1"/>
        <rFont val="楷体"/>
        <family val="3"/>
        <charset val="134"/>
      </rPr>
      <t>包</t>
    </r>
    <r>
      <rPr>
        <sz val="6"/>
        <color theme="1"/>
        <rFont val="Times New Roman"/>
        <family val="1"/>
      </rPr>
      <t>+</t>
    </r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a+50-60</t>
    </r>
    <r>
      <rPr>
        <sz val="6"/>
        <color theme="1"/>
        <rFont val="楷体"/>
        <family val="3"/>
        <charset val="134"/>
      </rPr>
      <t>金</t>
    </r>
  </si>
  <si>
    <r>
      <t>45-60</t>
    </r>
    <r>
      <rPr>
        <sz val="6"/>
        <color theme="1"/>
        <rFont val="楷体"/>
        <family val="3"/>
        <charset val="134"/>
      </rPr>
      <t>金</t>
    </r>
    <r>
      <rPr>
        <sz val="6"/>
        <color theme="1"/>
        <rFont val="Times New Roman"/>
        <family val="1"/>
      </rPr>
      <t>/45-60</t>
    </r>
    <r>
      <rPr>
        <sz val="6"/>
        <color theme="1"/>
        <rFont val="楷体"/>
        <family val="3"/>
        <charset val="134"/>
      </rPr>
      <t>尘</t>
    </r>
    <r>
      <rPr>
        <sz val="6"/>
        <color theme="1"/>
        <rFont val="Times New Roman"/>
        <family val="1"/>
      </rPr>
      <t>/</t>
    </r>
    <r>
      <rPr>
        <sz val="6"/>
        <color theme="1"/>
        <rFont val="楷体"/>
        <family val="3"/>
        <charset val="134"/>
      </rPr>
      <t>普通稀有</t>
    </r>
    <phoneticPr fontId="2" type="noConversion"/>
  </si>
  <si>
    <r>
      <t>1</t>
    </r>
    <r>
      <rPr>
        <sz val="6"/>
        <color theme="1"/>
        <rFont val="楷体"/>
        <family val="3"/>
        <charset val="134"/>
      </rPr>
      <t>包</t>
    </r>
    <r>
      <rPr>
        <sz val="6"/>
        <color theme="1"/>
        <rFont val="Times New Roman"/>
        <family val="1"/>
      </rPr>
      <t>+</t>
    </r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a+75-85</t>
    </r>
    <r>
      <rPr>
        <sz val="6"/>
        <color theme="1"/>
        <rFont val="楷体"/>
        <family val="3"/>
        <charset val="134"/>
      </rPr>
      <t>金</t>
    </r>
  </si>
  <si>
    <r>
      <t>1</t>
    </r>
    <r>
      <rPr>
        <sz val="6"/>
        <color theme="1"/>
        <rFont val="楷体"/>
        <family val="3"/>
        <charset val="134"/>
      </rPr>
      <t>包</t>
    </r>
    <r>
      <rPr>
        <sz val="6"/>
        <color theme="1"/>
        <rFont val="Times New Roman"/>
        <family val="1"/>
      </rPr>
      <t>+</t>
    </r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a+150-160</t>
    </r>
    <r>
      <rPr>
        <sz val="6"/>
        <color theme="1"/>
        <rFont val="楷体"/>
        <family val="3"/>
        <charset val="134"/>
      </rPr>
      <t>金</t>
    </r>
  </si>
  <si>
    <r>
      <t>1</t>
    </r>
    <r>
      <rPr>
        <sz val="6"/>
        <color theme="1"/>
        <rFont val="楷体"/>
        <family val="3"/>
        <charset val="134"/>
      </rPr>
      <t>包</t>
    </r>
    <r>
      <rPr>
        <sz val="6"/>
        <color theme="1"/>
        <rFont val="Times New Roman"/>
        <family val="1"/>
      </rPr>
      <t>+</t>
    </r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a+</t>
    </r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b+150-160</t>
    </r>
    <r>
      <rPr>
        <sz val="6"/>
        <color theme="1"/>
        <rFont val="楷体"/>
        <family val="3"/>
        <charset val="134"/>
      </rPr>
      <t>金</t>
    </r>
  </si>
  <si>
    <r>
      <t>35-50</t>
    </r>
    <r>
      <rPr>
        <sz val="6"/>
        <color theme="1"/>
        <rFont val="楷体"/>
        <family val="3"/>
        <charset val="134"/>
      </rPr>
      <t>金</t>
    </r>
    <r>
      <rPr>
        <sz val="6"/>
        <color theme="1"/>
        <rFont val="Times New Roman"/>
        <family val="1"/>
      </rPr>
      <t>/1</t>
    </r>
    <r>
      <rPr>
        <sz val="6"/>
        <color theme="1"/>
        <rFont val="楷体"/>
        <family val="3"/>
        <charset val="134"/>
      </rPr>
      <t>普通史诗</t>
    </r>
    <r>
      <rPr>
        <sz val="6"/>
        <color theme="1"/>
        <rFont val="Times New Roman"/>
        <family val="1"/>
      </rPr>
      <t>/1</t>
    </r>
    <r>
      <rPr>
        <sz val="6"/>
        <color theme="1"/>
        <rFont val="楷体"/>
        <family val="3"/>
        <charset val="134"/>
      </rPr>
      <t>普通传说</t>
    </r>
    <r>
      <rPr>
        <sz val="6"/>
        <color theme="1"/>
        <rFont val="Times New Roman"/>
        <family val="1"/>
      </rPr>
      <t>/1</t>
    </r>
    <r>
      <rPr>
        <sz val="6"/>
        <color theme="1"/>
        <rFont val="楷体"/>
        <family val="3"/>
        <charset val="134"/>
      </rPr>
      <t>金色普通</t>
    </r>
    <r>
      <rPr>
        <sz val="6"/>
        <color theme="1"/>
        <rFont val="Times New Roman"/>
        <family val="1"/>
      </rPr>
      <t>/1</t>
    </r>
    <r>
      <rPr>
        <sz val="6"/>
        <color theme="1"/>
        <rFont val="楷体"/>
        <family val="3"/>
        <charset val="134"/>
      </rPr>
      <t>金色稀有</t>
    </r>
    <phoneticPr fontId="2" type="noConversion"/>
  </si>
  <si>
    <r>
      <t>85-125</t>
    </r>
    <r>
      <rPr>
        <sz val="6"/>
        <color theme="1"/>
        <rFont val="楷体"/>
        <family val="3"/>
        <charset val="134"/>
      </rPr>
      <t>金</t>
    </r>
    <r>
      <rPr>
        <sz val="6"/>
        <color theme="1"/>
        <rFont val="Times New Roman"/>
        <family val="1"/>
      </rPr>
      <t>/1</t>
    </r>
    <r>
      <rPr>
        <sz val="6"/>
        <color theme="1"/>
        <rFont val="楷体"/>
        <family val="3"/>
        <charset val="134"/>
      </rPr>
      <t>普通史诗</t>
    </r>
    <r>
      <rPr>
        <sz val="6"/>
        <color theme="1"/>
        <rFont val="Times New Roman"/>
        <family val="1"/>
      </rPr>
      <t>/1</t>
    </r>
    <r>
      <rPr>
        <sz val="6"/>
        <color theme="1"/>
        <rFont val="楷体"/>
        <family val="3"/>
        <charset val="134"/>
      </rPr>
      <t>普通传说</t>
    </r>
    <r>
      <rPr>
        <sz val="6"/>
        <color theme="1"/>
        <rFont val="Times New Roman"/>
        <family val="1"/>
      </rPr>
      <t>/1</t>
    </r>
    <r>
      <rPr>
        <sz val="6"/>
        <color theme="1"/>
        <rFont val="楷体"/>
        <family val="3"/>
        <charset val="134"/>
      </rPr>
      <t>金色普通</t>
    </r>
    <r>
      <rPr>
        <sz val="6"/>
        <color theme="1"/>
        <rFont val="Times New Roman"/>
        <family val="1"/>
      </rPr>
      <t>/1</t>
    </r>
    <r>
      <rPr>
        <sz val="6"/>
        <color theme="1"/>
        <rFont val="楷体"/>
        <family val="3"/>
        <charset val="134"/>
      </rPr>
      <t>金色稀有</t>
    </r>
    <phoneticPr fontId="2" type="noConversion"/>
  </si>
  <si>
    <r>
      <t>1</t>
    </r>
    <r>
      <rPr>
        <sz val="6"/>
        <color theme="1"/>
        <rFont val="楷体"/>
        <family val="3"/>
        <charset val="134"/>
      </rPr>
      <t>包</t>
    </r>
    <r>
      <rPr>
        <sz val="6"/>
        <color theme="1"/>
        <rFont val="Times New Roman"/>
        <family val="1"/>
      </rPr>
      <t>+</t>
    </r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a+</t>
    </r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b+170-180</t>
    </r>
    <r>
      <rPr>
        <sz val="6"/>
        <color theme="1"/>
        <rFont val="楷体"/>
        <family val="3"/>
        <charset val="134"/>
      </rPr>
      <t>金</t>
    </r>
  </si>
  <si>
    <r>
      <t>65-95</t>
    </r>
    <r>
      <rPr>
        <sz val="6"/>
        <color theme="1"/>
        <rFont val="楷体"/>
        <family val="3"/>
        <charset val="134"/>
      </rPr>
      <t>金</t>
    </r>
    <r>
      <rPr>
        <sz val="6"/>
        <color theme="1"/>
        <rFont val="Times New Roman"/>
        <family val="1"/>
      </rPr>
      <t>/65-95</t>
    </r>
    <r>
      <rPr>
        <sz val="6"/>
        <color theme="1"/>
        <rFont val="楷体"/>
        <family val="3"/>
        <charset val="134"/>
      </rPr>
      <t>尘</t>
    </r>
    <r>
      <rPr>
        <sz val="6"/>
        <color theme="1"/>
        <rFont val="Times New Roman"/>
        <family val="1"/>
      </rPr>
      <t>/</t>
    </r>
    <r>
      <rPr>
        <sz val="6"/>
        <color theme="1"/>
        <rFont val="楷体"/>
        <family val="3"/>
        <charset val="134"/>
      </rPr>
      <t>普通稀有</t>
    </r>
    <phoneticPr fontId="2" type="noConversion"/>
  </si>
  <si>
    <r>
      <t>1</t>
    </r>
    <r>
      <rPr>
        <sz val="6"/>
        <color theme="1"/>
        <rFont val="楷体"/>
        <family val="3"/>
        <charset val="134"/>
      </rPr>
      <t>包</t>
    </r>
    <r>
      <rPr>
        <sz val="6"/>
        <color theme="1"/>
        <rFont val="Times New Roman"/>
        <family val="1"/>
      </rPr>
      <t>+</t>
    </r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a+</t>
    </r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b+195-205</t>
    </r>
    <r>
      <rPr>
        <sz val="6"/>
        <color theme="1"/>
        <rFont val="楷体"/>
        <family val="3"/>
        <charset val="134"/>
      </rPr>
      <t>金</t>
    </r>
  </si>
  <si>
    <r>
      <t>140-180</t>
    </r>
    <r>
      <rPr>
        <sz val="6"/>
        <color theme="1"/>
        <rFont val="楷体"/>
        <family val="3"/>
        <charset val="134"/>
      </rPr>
      <t>金</t>
    </r>
    <r>
      <rPr>
        <sz val="6"/>
        <color theme="1"/>
        <rFont val="Times New Roman"/>
        <family val="1"/>
      </rPr>
      <t>/1</t>
    </r>
    <r>
      <rPr>
        <sz val="6"/>
        <color theme="1"/>
        <rFont val="楷体"/>
        <family val="3"/>
        <charset val="134"/>
      </rPr>
      <t>普通史诗</t>
    </r>
    <r>
      <rPr>
        <sz val="6"/>
        <color theme="1"/>
        <rFont val="Times New Roman"/>
        <family val="1"/>
      </rPr>
      <t>/1</t>
    </r>
    <r>
      <rPr>
        <sz val="6"/>
        <color theme="1"/>
        <rFont val="楷体"/>
        <family val="3"/>
        <charset val="134"/>
      </rPr>
      <t>普通传说</t>
    </r>
    <r>
      <rPr>
        <sz val="6"/>
        <color theme="1"/>
        <rFont val="Times New Roman"/>
        <family val="1"/>
      </rPr>
      <t>/1</t>
    </r>
    <r>
      <rPr>
        <sz val="6"/>
        <color theme="1"/>
        <rFont val="楷体"/>
        <family val="3"/>
        <charset val="134"/>
      </rPr>
      <t>金色普通</t>
    </r>
    <r>
      <rPr>
        <sz val="6"/>
        <color theme="1"/>
        <rFont val="Times New Roman"/>
        <family val="1"/>
      </rPr>
      <t>/1</t>
    </r>
    <r>
      <rPr>
        <sz val="6"/>
        <color theme="1"/>
        <rFont val="楷体"/>
        <family val="3"/>
        <charset val="134"/>
      </rPr>
      <t>金色稀有</t>
    </r>
    <phoneticPr fontId="2" type="noConversion"/>
  </si>
  <si>
    <r>
      <t>1</t>
    </r>
    <r>
      <rPr>
        <sz val="6"/>
        <color theme="1"/>
        <rFont val="楷体"/>
        <family val="3"/>
        <charset val="134"/>
      </rPr>
      <t>包</t>
    </r>
    <r>
      <rPr>
        <sz val="6"/>
        <color theme="1"/>
        <rFont val="Times New Roman"/>
        <family val="1"/>
      </rPr>
      <t>+</t>
    </r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a+</t>
    </r>
    <r>
      <rPr>
        <sz val="6"/>
        <color theme="1"/>
        <rFont val="楷体"/>
        <family val="3"/>
        <charset val="134"/>
      </rPr>
      <t>随机奖励</t>
    </r>
    <r>
      <rPr>
        <sz val="6"/>
        <color theme="1"/>
        <rFont val="Times New Roman"/>
        <family val="1"/>
      </rPr>
      <t>b+215-225</t>
    </r>
    <r>
      <rPr>
        <sz val="6"/>
        <color theme="1"/>
        <rFont val="楷体"/>
        <family val="3"/>
        <charset val="134"/>
      </rPr>
      <t>金</t>
    </r>
    <r>
      <rPr>
        <sz val="6"/>
        <color theme="1"/>
        <rFont val="Times New Roman"/>
        <family val="1"/>
      </rPr>
      <t>+25-35</t>
    </r>
    <r>
      <rPr>
        <sz val="6"/>
        <color theme="1"/>
        <rFont val="楷体"/>
        <family val="3"/>
        <charset val="134"/>
      </rPr>
      <t>金</t>
    </r>
  </si>
  <si>
    <r>
      <t>70-100</t>
    </r>
    <r>
      <rPr>
        <sz val="6"/>
        <color theme="1"/>
        <rFont val="楷体"/>
        <family val="3"/>
        <charset val="134"/>
      </rPr>
      <t>金</t>
    </r>
    <r>
      <rPr>
        <sz val="6"/>
        <color theme="1"/>
        <rFont val="Times New Roman"/>
        <family val="1"/>
      </rPr>
      <t>(33.12%)/1</t>
    </r>
    <r>
      <rPr>
        <sz val="6"/>
        <color theme="1"/>
        <rFont val="楷体"/>
        <family val="3"/>
        <charset val="134"/>
      </rPr>
      <t>包</t>
    </r>
    <r>
      <rPr>
        <sz val="6"/>
        <color theme="1"/>
        <rFont val="Times New Roman"/>
        <family val="1"/>
      </rPr>
      <t>(35.37%)/1</t>
    </r>
    <r>
      <rPr>
        <sz val="6"/>
        <color theme="1"/>
        <rFont val="楷体"/>
        <family val="3"/>
        <charset val="134"/>
      </rPr>
      <t>金色稀有</t>
    </r>
    <r>
      <rPr>
        <sz val="6"/>
        <color theme="1"/>
        <rFont val="Times New Roman"/>
        <family val="1"/>
      </rPr>
      <t>(31.19%)/1</t>
    </r>
    <r>
      <rPr>
        <sz val="6"/>
        <color theme="1"/>
        <rFont val="楷体"/>
        <family val="3"/>
        <charset val="134"/>
      </rPr>
      <t>金色史诗</t>
    </r>
    <r>
      <rPr>
        <sz val="6"/>
        <color theme="1"/>
        <rFont val="Times New Roman"/>
        <family val="1"/>
      </rPr>
      <t>(0.32%)/1</t>
    </r>
    <r>
      <rPr>
        <sz val="6"/>
        <color theme="1"/>
        <rFont val="楷体"/>
        <family val="3"/>
        <charset val="134"/>
      </rPr>
      <t>金色传说</t>
    </r>
    <r>
      <rPr>
        <sz val="6"/>
        <color theme="1"/>
        <rFont val="Times New Roman"/>
        <family val="1"/>
      </rPr>
      <t>(&lt;0.32%)</t>
    </r>
    <phoneticPr fontId="2" type="noConversion"/>
  </si>
  <si>
    <r>
      <t>140-180</t>
    </r>
    <r>
      <rPr>
        <sz val="6"/>
        <color theme="1"/>
        <rFont val="楷体"/>
        <family val="3"/>
        <charset val="134"/>
      </rPr>
      <t>金</t>
    </r>
    <r>
      <rPr>
        <sz val="6"/>
        <color theme="1"/>
        <rFont val="Times New Roman"/>
        <family val="1"/>
      </rPr>
      <t>(47.27%)/1</t>
    </r>
    <r>
      <rPr>
        <sz val="6"/>
        <color theme="1"/>
        <rFont val="楷体"/>
        <family val="3"/>
        <charset val="134"/>
      </rPr>
      <t>普通史诗</t>
    </r>
    <r>
      <rPr>
        <sz val="6"/>
        <color theme="1"/>
        <rFont val="Times New Roman"/>
        <family val="1"/>
      </rPr>
      <t>(12.54%)/1</t>
    </r>
    <r>
      <rPr>
        <sz val="6"/>
        <color theme="1"/>
        <rFont val="楷体"/>
        <family val="3"/>
        <charset val="134"/>
      </rPr>
      <t>普通传说</t>
    </r>
    <r>
      <rPr>
        <sz val="6"/>
        <color theme="1"/>
        <rFont val="Times New Roman"/>
        <family val="1"/>
      </rPr>
      <t>(0.97%)/1</t>
    </r>
    <r>
      <rPr>
        <sz val="6"/>
        <color theme="1"/>
        <rFont val="楷体"/>
        <family val="3"/>
        <charset val="134"/>
      </rPr>
      <t>金色普通</t>
    </r>
    <r>
      <rPr>
        <sz val="6"/>
        <color theme="1"/>
        <rFont val="Times New Roman"/>
        <family val="1"/>
      </rPr>
      <t>(18.97%)/1</t>
    </r>
    <r>
      <rPr>
        <sz val="6"/>
        <color theme="1"/>
        <rFont val="楷体"/>
        <family val="3"/>
        <charset val="134"/>
      </rPr>
      <t>金色稀有</t>
    </r>
    <r>
      <rPr>
        <sz val="6"/>
        <color theme="1"/>
        <rFont val="Times New Roman"/>
        <family val="1"/>
      </rPr>
      <t>(20.25%)</t>
    </r>
    <phoneticPr fontId="2" type="noConversion"/>
  </si>
  <si>
    <r>
      <rPr>
        <b/>
        <sz val="16"/>
        <color rgb="FFFFFFFF"/>
        <rFont val="楷体"/>
        <family val="3"/>
        <charset val="134"/>
      </rPr>
      <t>卡包</t>
    </r>
    <phoneticPr fontId="2" type="noConversion"/>
  </si>
  <si>
    <r>
      <rPr>
        <b/>
        <sz val="16"/>
        <color rgb="FFFFFFFF"/>
        <rFont val="楷体"/>
        <family val="3"/>
        <charset val="134"/>
      </rPr>
      <t>尘</t>
    </r>
    <phoneticPr fontId="2" type="noConversion"/>
  </si>
  <si>
    <r>
      <rPr>
        <b/>
        <sz val="16"/>
        <color rgb="FFFFFFFF"/>
        <rFont val="楷体"/>
        <family val="3"/>
        <charset val="134"/>
      </rPr>
      <t>金橙</t>
    </r>
    <phoneticPr fontId="2" type="noConversion"/>
  </si>
  <si>
    <r>
      <rPr>
        <sz val="11"/>
        <color theme="1"/>
        <rFont val="楷体"/>
        <family val="3"/>
        <charset val="134"/>
      </rPr>
      <t>奖励原文（金币卡包尘金橙行）</t>
    </r>
    <phoneticPr fontId="2" type="noConversion"/>
  </si>
  <si>
    <r>
      <t>0</t>
    </r>
    <r>
      <rPr>
        <sz val="11"/>
        <color theme="1"/>
        <rFont val="楷体"/>
        <family val="3"/>
        <charset val="134"/>
      </rPr>
      <t>场</t>
    </r>
    <phoneticPr fontId="2" type="noConversion"/>
  </si>
  <si>
    <r>
      <rPr>
        <sz val="11"/>
        <color theme="1"/>
        <rFont val="楷体"/>
        <family val="3"/>
        <charset val="134"/>
      </rPr>
      <t>人数</t>
    </r>
    <phoneticPr fontId="2" type="noConversion"/>
  </si>
  <si>
    <r>
      <t>1</t>
    </r>
    <r>
      <rPr>
        <sz val="11"/>
        <color theme="1"/>
        <rFont val="楷体"/>
        <family val="3"/>
        <charset val="134"/>
      </rPr>
      <t>场</t>
    </r>
  </si>
  <si>
    <r>
      <t>2</t>
    </r>
    <r>
      <rPr>
        <sz val="11"/>
        <color theme="1"/>
        <rFont val="楷体"/>
        <family val="3"/>
        <charset val="134"/>
      </rPr>
      <t>场</t>
    </r>
  </si>
  <si>
    <r>
      <t>3</t>
    </r>
    <r>
      <rPr>
        <sz val="11"/>
        <color theme="1"/>
        <rFont val="楷体"/>
        <family val="3"/>
        <charset val="134"/>
      </rPr>
      <t>场</t>
    </r>
  </si>
  <si>
    <r>
      <t>0</t>
    </r>
    <r>
      <rPr>
        <sz val="11"/>
        <color theme="1"/>
        <rFont val="楷体"/>
        <family val="3"/>
        <charset val="134"/>
      </rPr>
      <t>到</t>
    </r>
    <r>
      <rPr>
        <sz val="11"/>
        <color theme="1"/>
        <rFont val="Times New Roman"/>
        <family val="1"/>
      </rPr>
      <t>2</t>
    </r>
    <phoneticPr fontId="2" type="noConversion"/>
  </si>
  <si>
    <r>
      <t>3</t>
    </r>
    <r>
      <rPr>
        <sz val="11"/>
        <color theme="1"/>
        <rFont val="楷体"/>
        <family val="3"/>
        <charset val="134"/>
      </rPr>
      <t>到</t>
    </r>
    <r>
      <rPr>
        <sz val="11"/>
        <color theme="1"/>
        <rFont val="Times New Roman"/>
        <family val="1"/>
      </rPr>
      <t>6</t>
    </r>
    <phoneticPr fontId="2" type="noConversion"/>
  </si>
  <si>
    <r>
      <t>7</t>
    </r>
    <r>
      <rPr>
        <sz val="11"/>
        <color theme="1"/>
        <rFont val="楷体"/>
        <family val="3"/>
        <charset val="134"/>
      </rPr>
      <t>到</t>
    </r>
    <r>
      <rPr>
        <sz val="11"/>
        <color theme="1"/>
        <rFont val="Times New Roman"/>
        <family val="1"/>
      </rPr>
      <t>12</t>
    </r>
    <phoneticPr fontId="2" type="noConversion"/>
  </si>
  <si>
    <r>
      <t>4</t>
    </r>
    <r>
      <rPr>
        <sz val="11"/>
        <color theme="1"/>
        <rFont val="楷体"/>
        <family val="3"/>
        <charset val="134"/>
      </rPr>
      <t>场</t>
    </r>
  </si>
  <si>
    <r>
      <rPr>
        <b/>
        <sz val="10"/>
        <color rgb="FFFFFFFF"/>
        <rFont val="楷体"/>
        <family val="3"/>
        <charset val="134"/>
      </rPr>
      <t>总数</t>
    </r>
  </si>
  <si>
    <r>
      <t>5</t>
    </r>
    <r>
      <rPr>
        <sz val="11"/>
        <color theme="1"/>
        <rFont val="楷体"/>
        <family val="3"/>
        <charset val="134"/>
      </rPr>
      <t>场</t>
    </r>
  </si>
  <si>
    <r>
      <rPr>
        <sz val="10"/>
        <color rgb="FF000000"/>
        <rFont val="楷体"/>
        <family val="3"/>
        <charset val="134"/>
      </rPr>
      <t>人数</t>
    </r>
  </si>
  <si>
    <r>
      <rPr>
        <sz val="10"/>
        <color rgb="FF000000"/>
        <rFont val="楷体"/>
        <family val="3"/>
        <charset val="134"/>
      </rPr>
      <t>比例</t>
    </r>
  </si>
  <si>
    <r>
      <t>6</t>
    </r>
    <r>
      <rPr>
        <sz val="11"/>
        <color theme="1"/>
        <rFont val="楷体"/>
        <family val="3"/>
        <charset val="134"/>
      </rPr>
      <t>场</t>
    </r>
  </si>
  <si>
    <r>
      <rPr>
        <sz val="11"/>
        <color theme="1"/>
        <rFont val="楷体"/>
        <family val="3"/>
        <charset val="134"/>
      </rPr>
      <t>概率</t>
    </r>
  </si>
  <si>
    <r>
      <t>7</t>
    </r>
    <r>
      <rPr>
        <sz val="11"/>
        <color theme="1"/>
        <rFont val="楷体"/>
        <family val="3"/>
        <charset val="134"/>
      </rPr>
      <t>场</t>
    </r>
  </si>
  <si>
    <r>
      <t>8</t>
    </r>
    <r>
      <rPr>
        <sz val="11"/>
        <color theme="1"/>
        <rFont val="楷体"/>
        <family val="3"/>
        <charset val="134"/>
      </rPr>
      <t>场</t>
    </r>
  </si>
  <si>
    <r>
      <t>9</t>
    </r>
    <r>
      <rPr>
        <sz val="11"/>
        <color theme="1"/>
        <rFont val="楷体"/>
        <family val="3"/>
        <charset val="134"/>
      </rPr>
      <t>场</t>
    </r>
  </si>
  <si>
    <r>
      <t>10</t>
    </r>
    <r>
      <rPr>
        <sz val="11"/>
        <color theme="1"/>
        <rFont val="楷体"/>
        <family val="3"/>
        <charset val="134"/>
      </rPr>
      <t>场</t>
    </r>
  </si>
  <si>
    <r>
      <t>11</t>
    </r>
    <r>
      <rPr>
        <sz val="11"/>
        <color theme="1"/>
        <rFont val="楷体"/>
        <family val="3"/>
        <charset val="134"/>
      </rPr>
      <t>场</t>
    </r>
  </si>
  <si>
    <r>
      <t>12</t>
    </r>
    <r>
      <rPr>
        <sz val="11"/>
        <color theme="1"/>
        <rFont val="楷体"/>
        <family val="3"/>
        <charset val="134"/>
      </rPr>
      <t>场</t>
    </r>
  </si>
  <si>
    <r>
      <t>13</t>
    </r>
    <r>
      <rPr>
        <sz val="11"/>
        <color theme="1"/>
        <rFont val="楷体"/>
        <family val="3"/>
        <charset val="134"/>
      </rPr>
      <t>场</t>
    </r>
  </si>
  <si>
    <r>
      <t>14</t>
    </r>
    <r>
      <rPr>
        <sz val="11"/>
        <color theme="1"/>
        <rFont val="楷体"/>
        <family val="3"/>
        <charset val="134"/>
      </rPr>
      <t>场</t>
    </r>
  </si>
  <si>
    <t>https://hs.blizzard.cn/news/hs-shop.html</t>
  </si>
  <si>
    <r>
      <rPr>
        <sz val="8"/>
        <color theme="1"/>
        <rFont val="楷体"/>
        <family val="3"/>
        <charset val="134"/>
      </rPr>
      <t>金回收率</t>
    </r>
  </si>
  <si>
    <r>
      <rPr>
        <sz val="8"/>
        <color theme="1"/>
        <rFont val="楷体"/>
        <family val="3"/>
        <charset val="134"/>
      </rPr>
      <t>无大奖金</t>
    </r>
    <phoneticPr fontId="2" type="noConversion"/>
  </si>
  <si>
    <r>
      <rPr>
        <sz val="8"/>
        <color theme="1"/>
        <rFont val="楷体"/>
        <family val="3"/>
        <charset val="134"/>
      </rPr>
      <t>奖池门票比</t>
    </r>
    <phoneticPr fontId="2" type="noConversion"/>
  </si>
  <si>
    <r>
      <rPr>
        <sz val="8"/>
        <color theme="1"/>
        <rFont val="楷体"/>
        <family val="3"/>
        <charset val="134"/>
      </rPr>
      <t>永动胜率</t>
    </r>
    <phoneticPr fontId="2" type="noConversion"/>
  </si>
  <si>
    <r>
      <rPr>
        <sz val="8"/>
        <color theme="1"/>
        <rFont val="楷体"/>
        <family val="3"/>
        <charset val="134"/>
      </rPr>
      <t>保本胜率</t>
    </r>
    <phoneticPr fontId="2" type="noConversion"/>
  </si>
  <si>
    <r>
      <rPr>
        <sz val="8"/>
        <color theme="1"/>
        <rFont val="楷体"/>
        <family val="3"/>
        <charset val="134"/>
      </rPr>
      <t>地下竞技场</t>
    </r>
    <r>
      <rPr>
        <sz val="8"/>
        <color theme="1"/>
        <rFont val="Times New Roman"/>
        <family val="1"/>
      </rPr>
      <t>33.0</t>
    </r>
    <phoneticPr fontId="2" type="noConversion"/>
  </si>
  <si>
    <r>
      <rPr>
        <sz val="8"/>
        <color theme="1"/>
        <rFont val="楷体"/>
        <family val="3"/>
        <charset val="134"/>
      </rPr>
      <t>地下竞技场</t>
    </r>
    <r>
      <rPr>
        <sz val="8"/>
        <color theme="1"/>
        <rFont val="Times New Roman"/>
        <family val="1"/>
      </rPr>
      <t>32.4</t>
    </r>
    <phoneticPr fontId="2" type="noConversion"/>
  </si>
  <si>
    <r>
      <rPr>
        <sz val="8"/>
        <color theme="1"/>
        <rFont val="楷体"/>
        <family val="3"/>
        <charset val="134"/>
      </rPr>
      <t>经典</t>
    </r>
    <phoneticPr fontId="2" type="noConversion"/>
  </si>
  <si>
    <r>
      <rPr>
        <sz val="8"/>
        <color theme="1"/>
        <rFont val="楷体"/>
        <family val="3"/>
        <charset val="134"/>
      </rPr>
      <t>英雄乱斗</t>
    </r>
    <phoneticPr fontId="2" type="noConversion"/>
  </si>
  <si>
    <r>
      <rPr>
        <sz val="8"/>
        <color theme="1"/>
        <rFont val="楷体"/>
        <family val="3"/>
        <charset val="134"/>
      </rPr>
      <t>胜率通过两分法计算</t>
    </r>
    <phoneticPr fontId="2" type="noConversion"/>
  </si>
  <si>
    <t>竞技场总体（=50%）</t>
    <phoneticPr fontId="2" type="noConversion"/>
  </si>
  <si>
    <r>
      <rPr>
        <b/>
        <sz val="10"/>
        <color rgb="FF000000"/>
        <rFont val="楷体"/>
        <family val="3"/>
        <charset val="134"/>
      </rPr>
      <t>普通普通</t>
    </r>
    <phoneticPr fontId="2" type="noConversion"/>
  </si>
  <si>
    <r>
      <rPr>
        <b/>
        <sz val="10"/>
        <color rgb="FF000000"/>
        <rFont val="楷体"/>
        <family val="3"/>
        <charset val="134"/>
      </rPr>
      <t>普通稀有</t>
    </r>
    <phoneticPr fontId="2" type="noConversion"/>
  </si>
  <si>
    <r>
      <rPr>
        <b/>
        <sz val="10"/>
        <color rgb="FF000000"/>
        <rFont val="楷体"/>
        <family val="3"/>
        <charset val="134"/>
      </rPr>
      <t>普通史诗</t>
    </r>
    <phoneticPr fontId="2" type="noConversion"/>
  </si>
  <si>
    <r>
      <rPr>
        <b/>
        <sz val="10"/>
        <color rgb="FF000000"/>
        <rFont val="楷体"/>
        <family val="3"/>
        <charset val="134"/>
      </rPr>
      <t>普通传说</t>
    </r>
    <phoneticPr fontId="2" type="noConversion"/>
  </si>
  <si>
    <r>
      <rPr>
        <sz val="11"/>
        <color theme="1"/>
        <rFont val="楷体"/>
        <family val="3"/>
        <charset val="134"/>
      </rPr>
      <t>数据来源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</si>
</sst>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0.0%"/>
    <numFmt numFmtId="179" formatCode="0.0000%"/>
  </numFmts>
  <fonts count="2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color rgb="FF000000"/>
      <name val="楷体"/>
      <family val="3"/>
      <charset val="134"/>
    </font>
    <font>
      <sz val="10"/>
      <color rgb="FF000000"/>
      <name val="楷体"/>
      <family val="3"/>
      <charset val="134"/>
    </font>
    <font>
      <sz val="16"/>
      <color rgb="FF000000"/>
      <name val="Times New Roman"/>
      <family val="1"/>
    </font>
    <font>
      <sz val="16"/>
      <name val="Times New Roman"/>
      <family val="1"/>
    </font>
    <font>
      <b/>
      <sz val="16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rgb="FFFFFFFF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6"/>
      <color theme="1"/>
      <name val="Times New Roman"/>
      <family val="1"/>
    </font>
    <font>
      <sz val="6"/>
      <color theme="1"/>
      <name val="Times New Roman"/>
      <family val="1"/>
    </font>
    <font>
      <b/>
      <sz val="6"/>
      <color theme="1"/>
      <name val="Times New Roman"/>
      <family val="1"/>
    </font>
    <font>
      <sz val="11"/>
      <color theme="1"/>
      <name val="楷体"/>
      <family val="3"/>
      <charset val="134"/>
    </font>
    <font>
      <b/>
      <sz val="10"/>
      <color rgb="FFFFFFFF"/>
      <name val="楷体"/>
      <family val="3"/>
      <charset val="134"/>
    </font>
    <font>
      <b/>
      <sz val="16"/>
      <color rgb="FFFFFFFF"/>
      <name val="楷体"/>
      <family val="3"/>
      <charset val="134"/>
    </font>
    <font>
      <sz val="8"/>
      <color theme="1"/>
      <name val="楷体"/>
      <family val="3"/>
      <charset val="134"/>
    </font>
    <font>
      <sz val="16"/>
      <color theme="1"/>
      <name val="楷体"/>
      <family val="3"/>
      <charset val="134"/>
    </font>
    <font>
      <sz val="6"/>
      <color theme="1"/>
      <name val="楷体"/>
      <family val="3"/>
      <charset val="134"/>
    </font>
    <font>
      <sz val="8"/>
      <color theme="1"/>
      <name val="宋体"/>
      <family val="1"/>
      <charset val="134"/>
    </font>
  </fonts>
  <fills count="1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81">
    <xf numFmtId="0" fontId="0" fillId="0" borderId="0" xfId="0"/>
    <xf numFmtId="0" fontId="0" fillId="7" borderId="0" xfId="0" applyFill="1"/>
    <xf numFmtId="9" fontId="0" fillId="7" borderId="0" xfId="1" applyFont="1" applyFill="1" applyAlignment="1"/>
    <xf numFmtId="10" fontId="0" fillId="7" borderId="0" xfId="1" applyNumberFormat="1" applyFont="1" applyFill="1" applyAlignment="1"/>
    <xf numFmtId="10" fontId="0" fillId="0" borderId="0" xfId="1" applyNumberFormat="1" applyFont="1" applyFill="1" applyAlignment="1"/>
    <xf numFmtId="10" fontId="0" fillId="0" borderId="0" xfId="1" applyNumberFormat="1" applyFont="1" applyAlignment="1"/>
    <xf numFmtId="9" fontId="0" fillId="0" borderId="0" xfId="1" applyFont="1" applyFill="1" applyAlignment="1"/>
    <xf numFmtId="178" fontId="0" fillId="7" borderId="0" xfId="1" applyNumberFormat="1" applyFont="1" applyFill="1" applyAlignment="1"/>
    <xf numFmtId="177" fontId="0" fillId="9" borderId="5" xfId="0" applyNumberFormat="1" applyFill="1" applyBorder="1"/>
    <xf numFmtId="177" fontId="0" fillId="8" borderId="5" xfId="0" applyNumberFormat="1" applyFill="1" applyBorder="1"/>
    <xf numFmtId="0" fontId="0" fillId="8" borderId="5" xfId="0" applyFill="1" applyBorder="1" applyAlignment="1">
      <alignment horizontal="left"/>
    </xf>
    <xf numFmtId="0" fontId="0" fillId="10" borderId="5" xfId="0" applyFill="1" applyBorder="1"/>
    <xf numFmtId="9" fontId="0" fillId="10" borderId="5" xfId="1" applyFont="1" applyFill="1" applyBorder="1" applyAlignment="1"/>
    <xf numFmtId="0" fontId="0" fillId="10" borderId="5" xfId="0" applyFill="1" applyBorder="1" applyAlignment="1">
      <alignment horizontal="left"/>
    </xf>
    <xf numFmtId="0" fontId="3" fillId="10" borderId="4" xfId="0" applyFont="1" applyFill="1" applyBorder="1"/>
    <xf numFmtId="9" fontId="0" fillId="11" borderId="5" xfId="1" applyFont="1" applyFill="1" applyBorder="1" applyAlignment="1"/>
    <xf numFmtId="0" fontId="3" fillId="11" borderId="4" xfId="0" applyFont="1" applyFill="1" applyBorder="1"/>
    <xf numFmtId="176" fontId="0" fillId="9" borderId="5" xfId="1" applyNumberFormat="1" applyFont="1" applyFill="1" applyBorder="1" applyAlignment="1"/>
    <xf numFmtId="9" fontId="0" fillId="6" borderId="5" xfId="1" applyFont="1" applyFill="1" applyBorder="1" applyAlignment="1"/>
    <xf numFmtId="176" fontId="0" fillId="6" borderId="5" xfId="1" applyNumberFormat="1" applyFont="1" applyFill="1" applyBorder="1" applyAlignment="1"/>
    <xf numFmtId="0" fontId="0" fillId="0" borderId="6" xfId="0" applyBorder="1"/>
    <xf numFmtId="0" fontId="0" fillId="9" borderId="0" xfId="0" applyFill="1"/>
    <xf numFmtId="9" fontId="0" fillId="9" borderId="0" xfId="1" applyFont="1" applyFill="1" applyAlignment="1"/>
    <xf numFmtId="176" fontId="0" fillId="9" borderId="0" xfId="0" applyNumberFormat="1" applyFill="1"/>
    <xf numFmtId="177" fontId="0" fillId="9" borderId="0" xfId="0" applyNumberFormat="1" applyFill="1"/>
    <xf numFmtId="10" fontId="0" fillId="9" borderId="0" xfId="1" applyNumberFormat="1" applyFont="1" applyFill="1" applyAlignment="1"/>
    <xf numFmtId="49" fontId="0" fillId="9" borderId="0" xfId="0" applyNumberFormat="1" applyFill="1"/>
    <xf numFmtId="0" fontId="0" fillId="11" borderId="0" xfId="0" applyFill="1"/>
    <xf numFmtId="9" fontId="0" fillId="11" borderId="0" xfId="1" applyFont="1" applyFill="1" applyAlignment="1"/>
    <xf numFmtId="177" fontId="0" fillId="11" borderId="0" xfId="0" applyNumberFormat="1" applyFill="1"/>
    <xf numFmtId="10" fontId="0" fillId="11" borderId="0" xfId="1" applyNumberFormat="1" applyFont="1" applyFill="1" applyAlignment="1"/>
    <xf numFmtId="49" fontId="0" fillId="11" borderId="0" xfId="0" applyNumberFormat="1" applyFill="1"/>
    <xf numFmtId="9" fontId="0" fillId="12" borderId="0" xfId="1" applyFont="1" applyFill="1" applyAlignment="1"/>
    <xf numFmtId="0" fontId="0" fillId="12" borderId="0" xfId="0" applyFill="1"/>
    <xf numFmtId="49" fontId="0" fillId="12" borderId="0" xfId="0" applyNumberFormat="1" applyFill="1"/>
    <xf numFmtId="10" fontId="0" fillId="12" borderId="0" xfId="1" applyNumberFormat="1" applyFont="1" applyFill="1" applyAlignment="1"/>
    <xf numFmtId="0" fontId="0" fillId="10" borderId="0" xfId="0" applyFill="1"/>
    <xf numFmtId="9" fontId="0" fillId="10" borderId="0" xfId="1" applyFont="1" applyFill="1" applyAlignment="1"/>
    <xf numFmtId="177" fontId="0" fillId="10" borderId="0" xfId="0" applyNumberFormat="1" applyFill="1"/>
    <xf numFmtId="10" fontId="0" fillId="10" borderId="0" xfId="1" applyNumberFormat="1" applyFont="1" applyFill="1" applyAlignment="1"/>
    <xf numFmtId="49" fontId="0" fillId="10" borderId="0" xfId="0" applyNumberFormat="1" applyFill="1"/>
    <xf numFmtId="0" fontId="0" fillId="8" borderId="7" xfId="0" applyFill="1" applyBorder="1" applyAlignment="1">
      <alignment horizontal="left"/>
    </xf>
    <xf numFmtId="0" fontId="0" fillId="13" borderId="0" xfId="0" applyFill="1"/>
    <xf numFmtId="0" fontId="6" fillId="8" borderId="2" xfId="0" applyFont="1" applyFill="1" applyBorder="1" applyAlignment="1">
      <alignment horizontal="center" vertical="center" wrapText="1" readingOrder="1"/>
    </xf>
    <xf numFmtId="0" fontId="6" fillId="9" borderId="3" xfId="0" applyFont="1" applyFill="1" applyBorder="1" applyAlignment="1">
      <alignment horizontal="center" vertical="center" wrapText="1" readingOrder="1"/>
    </xf>
    <xf numFmtId="0" fontId="6" fillId="8" borderId="3" xfId="0" applyFont="1" applyFill="1" applyBorder="1" applyAlignment="1">
      <alignment horizontal="center" vertical="center" wrapText="1" readingOrder="1"/>
    </xf>
    <xf numFmtId="9" fontId="6" fillId="8" borderId="2" xfId="1" applyFont="1" applyFill="1" applyBorder="1" applyAlignment="1">
      <alignment horizontal="center" vertical="center" wrapText="1" readingOrder="1"/>
    </xf>
    <xf numFmtId="9" fontId="6" fillId="9" borderId="2" xfId="1" applyFont="1" applyFill="1" applyBorder="1" applyAlignment="1">
      <alignment horizontal="center" vertical="center" wrapText="1" readingOrder="1"/>
    </xf>
    <xf numFmtId="9" fontId="6" fillId="8" borderId="3" xfId="1" applyFont="1" applyFill="1" applyBorder="1" applyAlignment="1">
      <alignment horizontal="center" vertical="center" wrapText="1" readingOrder="1"/>
    </xf>
    <xf numFmtId="9" fontId="6" fillId="9" borderId="3" xfId="1" applyFont="1" applyFill="1" applyBorder="1" applyAlignment="1">
      <alignment horizontal="center" vertical="center" wrapText="1" readingOrder="1"/>
    </xf>
    <xf numFmtId="0" fontId="6" fillId="9" borderId="2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 vertical="center" wrapText="1" readingOrder="1"/>
    </xf>
    <xf numFmtId="0" fontId="7" fillId="8" borderId="2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center" vertical="center" wrapText="1" readingOrder="1"/>
    </xf>
    <xf numFmtId="9" fontId="6" fillId="8" borderId="2" xfId="0" applyNumberFormat="1" applyFont="1" applyFill="1" applyBorder="1" applyAlignment="1">
      <alignment horizontal="center" vertical="center" wrapText="1" readingOrder="1"/>
    </xf>
    <xf numFmtId="9" fontId="6" fillId="9" borderId="3" xfId="0" applyNumberFormat="1" applyFont="1" applyFill="1" applyBorder="1" applyAlignment="1">
      <alignment horizontal="center" vertical="center" wrapText="1" readingOrder="1"/>
    </xf>
    <xf numFmtId="9" fontId="6" fillId="8" borderId="3" xfId="0" applyNumberFormat="1" applyFont="1" applyFill="1" applyBorder="1" applyAlignment="1">
      <alignment horizontal="center" vertical="center" wrapText="1" readingOrder="1"/>
    </xf>
    <xf numFmtId="0" fontId="6" fillId="7" borderId="2" xfId="0" applyFont="1" applyFill="1" applyBorder="1" applyAlignment="1">
      <alignment horizontal="center" vertical="center" wrapText="1" readingOrder="1"/>
    </xf>
    <xf numFmtId="9" fontId="6" fillId="7" borderId="2" xfId="1" applyFont="1" applyFill="1" applyBorder="1" applyAlignment="1">
      <alignment horizontal="center" vertical="center" wrapText="1" readingOrder="1"/>
    </xf>
    <xf numFmtId="177" fontId="6" fillId="8" borderId="2" xfId="0" applyNumberFormat="1" applyFont="1" applyFill="1" applyBorder="1" applyAlignment="1">
      <alignment horizontal="center" vertical="center" wrapText="1" readingOrder="1"/>
    </xf>
    <xf numFmtId="177" fontId="6" fillId="9" borderId="2" xfId="0" applyNumberFormat="1" applyFont="1" applyFill="1" applyBorder="1" applyAlignment="1">
      <alignment horizontal="center" vertical="center" wrapText="1" readingOrder="1"/>
    </xf>
    <xf numFmtId="177" fontId="6" fillId="7" borderId="2" xfId="0" applyNumberFormat="1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 wrapText="1" readingOrder="1"/>
    </xf>
    <xf numFmtId="9" fontId="6" fillId="16" borderId="2" xfId="1" applyFont="1" applyFill="1" applyBorder="1" applyAlignment="1">
      <alignment horizontal="center" vertical="center" wrapText="1" readingOrder="1"/>
    </xf>
    <xf numFmtId="9" fontId="6" fillId="16" borderId="3" xfId="1" applyFont="1" applyFill="1" applyBorder="1" applyAlignment="1">
      <alignment horizontal="center" vertical="center" wrapText="1" readingOrder="1"/>
    </xf>
    <xf numFmtId="49" fontId="6" fillId="18" borderId="2" xfId="0" applyNumberFormat="1" applyFont="1" applyFill="1" applyBorder="1" applyAlignment="1">
      <alignment horizontal="center" vertical="center" wrapText="1" readingOrder="1"/>
    </xf>
    <xf numFmtId="49" fontId="6" fillId="18" borderId="3" xfId="0" applyNumberFormat="1" applyFont="1" applyFill="1" applyBorder="1" applyAlignment="1">
      <alignment horizontal="center" vertical="center" wrapText="1" readingOrder="1"/>
    </xf>
    <xf numFmtId="177" fontId="7" fillId="3" borderId="2" xfId="1" applyNumberFormat="1" applyFont="1" applyFill="1" applyBorder="1" applyAlignment="1">
      <alignment horizontal="center" vertical="top" wrapText="1"/>
    </xf>
    <xf numFmtId="177" fontId="7" fillId="7" borderId="2" xfId="1" applyNumberFormat="1" applyFont="1" applyFill="1" applyBorder="1" applyAlignment="1">
      <alignment horizontal="center" vertical="top" wrapText="1"/>
    </xf>
    <xf numFmtId="9" fontId="7" fillId="3" borderId="2" xfId="1" applyFont="1" applyFill="1" applyBorder="1" applyAlignment="1">
      <alignment horizontal="center" vertical="top" wrapText="1"/>
    </xf>
    <xf numFmtId="9" fontId="7" fillId="7" borderId="2" xfId="1" applyFont="1" applyFill="1" applyBorder="1" applyAlignment="1">
      <alignment horizontal="center" vertical="top" wrapText="1"/>
    </xf>
    <xf numFmtId="177" fontId="7" fillId="9" borderId="2" xfId="1" applyNumberFormat="1" applyFont="1" applyFill="1" applyBorder="1" applyAlignment="1">
      <alignment horizontal="center" vertical="top" wrapText="1"/>
    </xf>
    <xf numFmtId="9" fontId="7" fillId="9" borderId="2" xfId="1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center" vertical="top" wrapText="1"/>
    </xf>
    <xf numFmtId="9" fontId="6" fillId="9" borderId="2" xfId="0" applyNumberFormat="1" applyFont="1" applyFill="1" applyBorder="1" applyAlignment="1">
      <alignment horizontal="center" vertical="center" wrapText="1" readingOrder="1"/>
    </xf>
    <xf numFmtId="9" fontId="6" fillId="5" borderId="3" xfId="0" applyNumberFormat="1" applyFont="1" applyFill="1" applyBorder="1" applyAlignment="1">
      <alignment horizontal="center" vertical="center" wrapText="1" readingOrder="1"/>
    </xf>
    <xf numFmtId="176" fontId="6" fillId="9" borderId="2" xfId="0" applyNumberFormat="1" applyFont="1" applyFill="1" applyBorder="1" applyAlignment="1">
      <alignment horizontal="center" vertical="top" wrapText="1" readingOrder="1"/>
    </xf>
    <xf numFmtId="9" fontId="6" fillId="9" borderId="2" xfId="1" applyFont="1" applyFill="1" applyBorder="1" applyAlignment="1">
      <alignment horizontal="center" vertical="top" wrapText="1" readingOrder="1"/>
    </xf>
    <xf numFmtId="9" fontId="6" fillId="8" borderId="2" xfId="1" applyFont="1" applyFill="1" applyBorder="1" applyAlignment="1">
      <alignment horizontal="center" vertical="top" wrapText="1" readingOrder="1"/>
    </xf>
    <xf numFmtId="9" fontId="6" fillId="7" borderId="2" xfId="1" applyFont="1" applyFill="1" applyBorder="1" applyAlignment="1">
      <alignment horizontal="center" vertical="top" wrapText="1" readingOrder="1"/>
    </xf>
    <xf numFmtId="0" fontId="7" fillId="7" borderId="2" xfId="0" applyFont="1" applyFill="1" applyBorder="1" applyAlignment="1">
      <alignment horizontal="center" vertical="top" wrapText="1"/>
    </xf>
    <xf numFmtId="9" fontId="7" fillId="8" borderId="2" xfId="1" applyFont="1" applyFill="1" applyBorder="1" applyAlignment="1">
      <alignment horizontal="center" vertical="top" wrapText="1"/>
    </xf>
    <xf numFmtId="176" fontId="6" fillId="8" borderId="2" xfId="0" applyNumberFormat="1" applyFont="1" applyFill="1" applyBorder="1" applyAlignment="1">
      <alignment horizontal="center" vertical="top" wrapText="1" readingOrder="1"/>
    </xf>
    <xf numFmtId="49" fontId="9" fillId="18" borderId="2" xfId="0" applyNumberFormat="1" applyFont="1" applyFill="1" applyBorder="1" applyAlignment="1">
      <alignment horizontal="center" vertical="center" wrapText="1" readingOrder="1"/>
    </xf>
    <xf numFmtId="49" fontId="9" fillId="18" borderId="3" xfId="0" applyNumberFormat="1" applyFont="1" applyFill="1" applyBorder="1" applyAlignment="1">
      <alignment horizontal="center" vertical="center" wrapText="1" readingOrder="1"/>
    </xf>
    <xf numFmtId="0" fontId="10" fillId="1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11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 vertical="center" wrapText="1" readingOrder="1"/>
    </xf>
    <xf numFmtId="0" fontId="12" fillId="3" borderId="2" xfId="0" applyFont="1" applyFill="1" applyBorder="1" applyAlignment="1">
      <alignment horizontal="center" vertical="center" wrapText="1" readingOrder="1"/>
    </xf>
    <xf numFmtId="0" fontId="12" fillId="17" borderId="3" xfId="0" applyFont="1" applyFill="1" applyBorder="1" applyAlignment="1">
      <alignment horizontal="center" vertical="center" wrapText="1" readingOrder="1"/>
    </xf>
    <xf numFmtId="0" fontId="12" fillId="3" borderId="3" xfId="0" applyFont="1" applyFill="1" applyBorder="1" applyAlignment="1">
      <alignment horizontal="center" vertical="center" wrapText="1" readingOrder="1"/>
    </xf>
    <xf numFmtId="0" fontId="12" fillId="4" borderId="3" xfId="0" applyFont="1" applyFill="1" applyBorder="1" applyAlignment="1">
      <alignment horizontal="center" vertical="center" wrapText="1" readingOrder="1"/>
    </xf>
    <xf numFmtId="9" fontId="12" fillId="3" borderId="2" xfId="0" applyNumberFormat="1" applyFont="1" applyFill="1" applyBorder="1" applyAlignment="1">
      <alignment horizontal="center" vertical="center" wrapText="1" readingOrder="1"/>
    </xf>
    <xf numFmtId="10" fontId="12" fillId="17" borderId="3" xfId="0" applyNumberFormat="1" applyFont="1" applyFill="1" applyBorder="1" applyAlignment="1">
      <alignment horizontal="center" vertical="center" wrapText="1" readingOrder="1"/>
    </xf>
    <xf numFmtId="9" fontId="13" fillId="3" borderId="3" xfId="0" applyNumberFormat="1" applyFont="1" applyFill="1" applyBorder="1" applyAlignment="1">
      <alignment horizontal="center" vertical="center" wrapText="1" readingOrder="1"/>
    </xf>
    <xf numFmtId="9" fontId="13" fillId="17" borderId="3" xfId="0" applyNumberFormat="1" applyFont="1" applyFill="1" applyBorder="1" applyAlignment="1">
      <alignment horizontal="center" vertical="center" wrapText="1" readingOrder="1"/>
    </xf>
    <xf numFmtId="10" fontId="13" fillId="3" borderId="3" xfId="0" applyNumberFormat="1" applyFont="1" applyFill="1" applyBorder="1" applyAlignment="1">
      <alignment horizontal="center" vertical="center" wrapText="1" readingOrder="1"/>
    </xf>
    <xf numFmtId="10" fontId="13" fillId="17" borderId="3" xfId="0" applyNumberFormat="1" applyFont="1" applyFill="1" applyBorder="1" applyAlignment="1">
      <alignment horizontal="center" vertical="center" wrapText="1" readingOrder="1"/>
    </xf>
    <xf numFmtId="9" fontId="13" fillId="4" borderId="3" xfId="0" applyNumberFormat="1" applyFont="1" applyFill="1" applyBorder="1" applyAlignment="1">
      <alignment horizontal="center" vertical="center" wrapText="1" readingOrder="1"/>
    </xf>
    <xf numFmtId="0" fontId="13" fillId="3" borderId="2" xfId="0" applyFont="1" applyFill="1" applyBorder="1" applyAlignment="1">
      <alignment horizontal="center" vertical="center" wrapText="1" readingOrder="1"/>
    </xf>
    <xf numFmtId="0" fontId="13" fillId="17" borderId="3" xfId="0" applyFont="1" applyFill="1" applyBorder="1" applyAlignment="1">
      <alignment horizontal="center" vertical="center" wrapText="1" readingOrder="1"/>
    </xf>
    <xf numFmtId="0" fontId="13" fillId="3" borderId="3" xfId="0" applyFont="1" applyFill="1" applyBorder="1" applyAlignment="1">
      <alignment horizontal="center" vertical="center" wrapText="1" readingOrder="1"/>
    </xf>
    <xf numFmtId="0" fontId="14" fillId="4" borderId="3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center"/>
    </xf>
    <xf numFmtId="0" fontId="13" fillId="17" borderId="2" xfId="0" applyFont="1" applyFill="1" applyBorder="1" applyAlignment="1">
      <alignment horizontal="center" vertical="center" wrapText="1" readingOrder="1"/>
    </xf>
    <xf numFmtId="0" fontId="13" fillId="7" borderId="3" xfId="0" applyFont="1" applyFill="1" applyBorder="1" applyAlignment="1">
      <alignment horizontal="center" vertical="center" wrapText="1" readingOrder="1"/>
    </xf>
    <xf numFmtId="9" fontId="12" fillId="17" borderId="2" xfId="0" applyNumberFormat="1" applyFont="1" applyFill="1" applyBorder="1" applyAlignment="1">
      <alignment horizontal="center" vertical="center" wrapText="1" readingOrder="1"/>
    </xf>
    <xf numFmtId="9" fontId="12" fillId="17" borderId="3" xfId="0" applyNumberFormat="1" applyFont="1" applyFill="1" applyBorder="1" applyAlignment="1">
      <alignment horizontal="center" vertical="center" wrapText="1" readingOrder="1"/>
    </xf>
    <xf numFmtId="9" fontId="10" fillId="7" borderId="0" xfId="0" applyNumberFormat="1" applyFont="1" applyFill="1" applyAlignment="1">
      <alignment horizontal="center"/>
    </xf>
    <xf numFmtId="0" fontId="10" fillId="0" borderId="0" xfId="0" applyFont="1"/>
    <xf numFmtId="9" fontId="10" fillId="0" borderId="0" xfId="1" applyFont="1" applyAlignment="1"/>
    <xf numFmtId="178" fontId="10" fillId="7" borderId="0" xfId="1" applyNumberFormat="1" applyFont="1" applyFill="1" applyAlignment="1"/>
    <xf numFmtId="9" fontId="10" fillId="7" borderId="0" xfId="1" applyFont="1" applyFill="1" applyAlignment="1"/>
    <xf numFmtId="178" fontId="10" fillId="7" borderId="0" xfId="0" applyNumberFormat="1" applyFont="1" applyFill="1"/>
    <xf numFmtId="10" fontId="10" fillId="0" borderId="0" xfId="1" applyNumberFormat="1" applyFont="1" applyAlignment="1"/>
    <xf numFmtId="0" fontId="10" fillId="8" borderId="5" xfId="0" applyFont="1" applyFill="1" applyBorder="1" applyAlignment="1">
      <alignment horizontal="left"/>
    </xf>
    <xf numFmtId="177" fontId="10" fillId="9" borderId="5" xfId="0" applyNumberFormat="1" applyFont="1" applyFill="1" applyBorder="1"/>
    <xf numFmtId="177" fontId="10" fillId="8" borderId="5" xfId="0" applyNumberFormat="1" applyFont="1" applyFill="1" applyBorder="1"/>
    <xf numFmtId="0" fontId="10" fillId="0" borderId="6" xfId="0" applyFont="1" applyBorder="1"/>
    <xf numFmtId="0" fontId="10" fillId="10" borderId="5" xfId="0" applyFont="1" applyFill="1" applyBorder="1"/>
    <xf numFmtId="9" fontId="10" fillId="11" borderId="5" xfId="1" applyFont="1" applyFill="1" applyBorder="1" applyAlignment="1"/>
    <xf numFmtId="9" fontId="10" fillId="10" borderId="5" xfId="1" applyFont="1" applyFill="1" applyBorder="1" applyAlignment="1"/>
    <xf numFmtId="9" fontId="10" fillId="6" borderId="5" xfId="1" applyFont="1" applyFill="1" applyBorder="1" applyAlignment="1"/>
    <xf numFmtId="0" fontId="10" fillId="10" borderId="5" xfId="0" applyFont="1" applyFill="1" applyBorder="1" applyAlignment="1">
      <alignment horizontal="left"/>
    </xf>
    <xf numFmtId="0" fontId="10" fillId="11" borderId="4" xfId="0" applyFont="1" applyFill="1" applyBorder="1"/>
    <xf numFmtId="0" fontId="10" fillId="10" borderId="4" xfId="0" applyFont="1" applyFill="1" applyBorder="1"/>
    <xf numFmtId="9" fontId="10" fillId="9" borderId="5" xfId="1" applyFont="1" applyFill="1" applyBorder="1" applyAlignment="1"/>
    <xf numFmtId="178" fontId="10" fillId="0" borderId="0" xfId="1" applyNumberFormat="1" applyFont="1" applyFill="1" applyAlignment="1"/>
    <xf numFmtId="0" fontId="10" fillId="8" borderId="7" xfId="0" applyFont="1" applyFill="1" applyBorder="1" applyAlignment="1">
      <alignment horizontal="left"/>
    </xf>
    <xf numFmtId="0" fontId="10" fillId="13" borderId="0" xfId="0" applyFont="1" applyFill="1"/>
    <xf numFmtId="10" fontId="10" fillId="0" borderId="0" xfId="1" applyNumberFormat="1" applyFont="1" applyFill="1" applyAlignment="1"/>
    <xf numFmtId="9" fontId="10" fillId="0" borderId="0" xfId="1" applyFont="1" applyFill="1" applyAlignment="1"/>
    <xf numFmtId="49" fontId="10" fillId="9" borderId="0" xfId="0" applyNumberFormat="1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10" fontId="10" fillId="7" borderId="0" xfId="1" applyNumberFormat="1" applyFont="1" applyFill="1" applyAlignment="1">
      <alignment horizontal="center"/>
    </xf>
    <xf numFmtId="10" fontId="10" fillId="9" borderId="0" xfId="1" applyNumberFormat="1" applyFont="1" applyFill="1" applyAlignment="1">
      <alignment horizontal="center"/>
    </xf>
    <xf numFmtId="0" fontId="10" fillId="7" borderId="0" xfId="1" applyNumberFormat="1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9" fontId="10" fillId="9" borderId="0" xfId="1" applyFont="1" applyFill="1" applyAlignment="1">
      <alignment horizontal="center"/>
    </xf>
    <xf numFmtId="9" fontId="10" fillId="7" borderId="0" xfId="1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49" fontId="10" fillId="11" borderId="0" xfId="0" applyNumberFormat="1" applyFont="1" applyFill="1" applyAlignment="1">
      <alignment horizontal="center"/>
    </xf>
    <xf numFmtId="10" fontId="10" fillId="11" borderId="0" xfId="1" applyNumberFormat="1" applyFont="1" applyFill="1" applyAlignment="1">
      <alignment horizontal="center"/>
    </xf>
    <xf numFmtId="9" fontId="10" fillId="11" borderId="0" xfId="1" applyFont="1" applyFill="1" applyAlignment="1">
      <alignment horizontal="center"/>
    </xf>
    <xf numFmtId="49" fontId="10" fillId="12" borderId="0" xfId="0" applyNumberFormat="1" applyFont="1" applyFill="1" applyAlignment="1">
      <alignment horizontal="center"/>
    </xf>
    <xf numFmtId="10" fontId="10" fillId="12" borderId="0" xfId="1" applyNumberFormat="1" applyFont="1" applyFill="1" applyAlignment="1">
      <alignment horizontal="center"/>
    </xf>
    <xf numFmtId="9" fontId="10" fillId="12" borderId="0" xfId="1" applyFont="1" applyFill="1" applyAlignment="1">
      <alignment horizontal="center"/>
    </xf>
    <xf numFmtId="49" fontId="10" fillId="10" borderId="0" xfId="0" applyNumberFormat="1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10" fontId="10" fillId="10" borderId="0" xfId="1" applyNumberFormat="1" applyFont="1" applyFill="1" applyAlignment="1">
      <alignment horizontal="center"/>
    </xf>
    <xf numFmtId="9" fontId="10" fillId="10" borderId="0" xfId="1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49" fontId="10" fillId="0" borderId="0" xfId="0" applyNumberFormat="1" applyFont="1" applyAlignment="1">
      <alignment horizontal="center"/>
    </xf>
    <xf numFmtId="10" fontId="10" fillId="9" borderId="0" xfId="0" applyNumberFormat="1" applyFont="1" applyFill="1" applyAlignment="1">
      <alignment horizontal="center"/>
    </xf>
    <xf numFmtId="9" fontId="10" fillId="14" borderId="0" xfId="0" applyNumberFormat="1" applyFont="1" applyFill="1" applyAlignment="1">
      <alignment horizontal="center"/>
    </xf>
    <xf numFmtId="0" fontId="10" fillId="0" borderId="0" xfId="0" applyFont="1" applyAlignment="1">
      <alignment horizontal="left"/>
    </xf>
    <xf numFmtId="0" fontId="16" fillId="2" borderId="1" xfId="0" applyFont="1" applyFill="1" applyBorder="1" applyAlignment="1">
      <alignment horizontal="center" vertical="center" wrapText="1" readingOrder="1"/>
    </xf>
    <xf numFmtId="0" fontId="17" fillId="8" borderId="0" xfId="0" applyFont="1" applyFill="1" applyAlignment="1">
      <alignment horizontal="center"/>
    </xf>
    <xf numFmtId="0" fontId="17" fillId="11" borderId="0" xfId="0" applyFont="1" applyFill="1" applyAlignment="1">
      <alignment horizontal="center"/>
    </xf>
    <xf numFmtId="0" fontId="18" fillId="11" borderId="0" xfId="0" applyFont="1" applyFill="1" applyAlignment="1">
      <alignment horizontal="center"/>
    </xf>
    <xf numFmtId="9" fontId="17" fillId="8" borderId="0" xfId="1" applyFont="1" applyFill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8" borderId="0" xfId="0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0" fontId="10" fillId="1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10" fontId="10" fillId="0" borderId="0" xfId="0" applyNumberFormat="1" applyFont="1" applyAlignment="1">
      <alignment horizontal="center"/>
    </xf>
    <xf numFmtId="0" fontId="14" fillId="2" borderId="1" xfId="0" applyFont="1" applyFill="1" applyBorder="1" applyAlignment="1">
      <alignment horizontal="center" vertical="top" wrapText="1"/>
    </xf>
    <xf numFmtId="49" fontId="11" fillId="2" borderId="1" xfId="0" applyNumberFormat="1" applyFont="1" applyFill="1" applyBorder="1" applyAlignment="1">
      <alignment horizontal="center" vertical="center" wrapText="1" readingOrder="1"/>
    </xf>
    <xf numFmtId="0" fontId="13" fillId="4" borderId="3" xfId="0" applyFont="1" applyFill="1" applyBorder="1" applyAlignment="1">
      <alignment horizontal="center" vertical="center" wrapText="1" readingOrder="1"/>
    </xf>
    <xf numFmtId="179" fontId="13" fillId="4" borderId="3" xfId="0" applyNumberFormat="1" applyFont="1" applyFill="1" applyBorder="1" applyAlignment="1">
      <alignment horizontal="center" vertical="center" wrapText="1" readingOrder="1"/>
    </xf>
    <xf numFmtId="0" fontId="17" fillId="0" borderId="0" xfId="0" applyFont="1"/>
    <xf numFmtId="178" fontId="17" fillId="7" borderId="0" xfId="1" applyNumberFormat="1" applyFont="1" applyFill="1" applyAlignment="1"/>
    <xf numFmtId="9" fontId="17" fillId="7" borderId="0" xfId="1" applyFont="1" applyFill="1" applyAlignment="1"/>
    <xf numFmtId="10" fontId="17" fillId="7" borderId="0" xfId="0" applyNumberFormat="1" applyFont="1" applyFill="1"/>
    <xf numFmtId="0" fontId="17" fillId="0" borderId="6" xfId="0" applyFont="1" applyBorder="1"/>
    <xf numFmtId="9" fontId="17" fillId="7" borderId="0" xfId="0" applyNumberFormat="1" applyFont="1" applyFill="1"/>
    <xf numFmtId="10" fontId="17" fillId="0" borderId="0" xfId="1" applyNumberFormat="1" applyFont="1" applyFill="1" applyAlignment="1"/>
    <xf numFmtId="0" fontId="28" fillId="0" borderId="0" xfId="0" applyFo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5B52-341C-4531-AF45-44D37ECE5C08}">
  <dimension ref="A1:L18"/>
  <sheetViews>
    <sheetView tabSelected="1" zoomScaleNormal="100" workbookViewId="0">
      <selection activeCell="K25" sqref="K25"/>
    </sheetView>
  </sheetViews>
  <sheetFormatPr defaultRowHeight="13.9" x14ac:dyDescent="0.4"/>
  <cols>
    <col min="1" max="1" width="10.796875" style="86" bestFit="1" customWidth="1"/>
    <col min="2" max="2" width="6.19921875" style="86" customWidth="1"/>
    <col min="3" max="3" width="9.46484375" style="86" bestFit="1" customWidth="1"/>
    <col min="4" max="4" width="5.06640625" style="86" bestFit="1" customWidth="1"/>
    <col min="5" max="5" width="4.9296875" style="86" bestFit="1" customWidth="1"/>
    <col min="6" max="6" width="8.796875" style="86" bestFit="1" customWidth="1"/>
    <col min="7" max="7" width="9.46484375" style="86" bestFit="1" customWidth="1"/>
    <col min="8" max="10" width="9.06640625" style="86" bestFit="1" customWidth="1"/>
    <col min="11" max="11" width="6.6640625" style="86" bestFit="1" customWidth="1"/>
    <col min="12" max="12" width="9.06640625" style="86"/>
    <col min="13" max="13" width="13.9296875" style="86" customWidth="1"/>
    <col min="14" max="14" width="8.53125" style="86" bestFit="1" customWidth="1"/>
    <col min="15" max="15" width="9.86328125" style="86" bestFit="1" customWidth="1"/>
    <col min="16" max="19" width="8.53125" style="86" bestFit="1" customWidth="1"/>
    <col min="20" max="16384" width="9.06640625" style="86"/>
  </cols>
  <sheetData>
    <row r="1" spans="1:12" ht="14.25" x14ac:dyDescent="0.4">
      <c r="A1" s="85" t="s">
        <v>127</v>
      </c>
      <c r="B1" s="85" t="s">
        <v>128</v>
      </c>
      <c r="C1" s="85" t="s">
        <v>129</v>
      </c>
      <c r="D1" s="85" t="s">
        <v>130</v>
      </c>
      <c r="E1" s="85" t="s">
        <v>131</v>
      </c>
      <c r="F1" s="85" t="s">
        <v>132</v>
      </c>
      <c r="G1" s="85" t="s">
        <v>133</v>
      </c>
      <c r="H1" s="85" t="s">
        <v>134</v>
      </c>
      <c r="I1" s="85" t="s">
        <v>135</v>
      </c>
      <c r="J1" s="85" t="s">
        <v>136</v>
      </c>
    </row>
    <row r="2" spans="1:12" ht="14.25" x14ac:dyDescent="0.4">
      <c r="A2" s="87" t="s">
        <v>137</v>
      </c>
      <c r="B2" s="87">
        <v>115.69</v>
      </c>
      <c r="C2" s="87">
        <v>528</v>
      </c>
      <c r="D2" s="87">
        <v>1.32</v>
      </c>
      <c r="E2" s="87">
        <v>198</v>
      </c>
      <c r="F2" s="87">
        <v>20</v>
      </c>
      <c r="G2" s="87">
        <v>100</v>
      </c>
      <c r="H2" s="87">
        <v>400</v>
      </c>
      <c r="I2" s="87">
        <v>400</v>
      </c>
      <c r="J2" s="87">
        <v>1600</v>
      </c>
    </row>
    <row r="3" spans="1:12" ht="14.25" thickBot="1" x14ac:dyDescent="0.45"/>
    <row r="4" spans="1:12" ht="26.65" thickTop="1" thickBot="1" x14ac:dyDescent="0.45">
      <c r="A4" s="88" t="s">
        <v>150</v>
      </c>
      <c r="B4" s="89" t="s">
        <v>329</v>
      </c>
      <c r="C4" s="90" t="s">
        <v>330</v>
      </c>
      <c r="D4" s="91" t="s">
        <v>331</v>
      </c>
      <c r="E4" s="90" t="s">
        <v>332</v>
      </c>
      <c r="F4" s="91" t="s">
        <v>138</v>
      </c>
      <c r="G4" s="90" t="s">
        <v>139</v>
      </c>
      <c r="H4" s="91" t="s">
        <v>140</v>
      </c>
      <c r="I4" s="90" t="s">
        <v>141</v>
      </c>
      <c r="J4" s="91" t="s">
        <v>142</v>
      </c>
      <c r="K4" s="92" t="s">
        <v>143</v>
      </c>
    </row>
    <row r="5" spans="1:12" ht="14.65" thickTop="1" thickBot="1" x14ac:dyDescent="0.45">
      <c r="A5" s="88" t="s">
        <v>144</v>
      </c>
      <c r="B5" s="93">
        <v>3.5</v>
      </c>
      <c r="C5" s="94">
        <v>1.0620000000000001</v>
      </c>
      <c r="D5" s="95">
        <v>0.21</v>
      </c>
      <c r="E5" s="96">
        <v>0.05</v>
      </c>
      <c r="F5" s="97">
        <v>8.1000000000000003E-2</v>
      </c>
      <c r="G5" s="98">
        <v>7.0999999999999994E-2</v>
      </c>
      <c r="H5" s="97">
        <v>1.4E-2</v>
      </c>
      <c r="I5" s="98">
        <v>6.0000000000000001E-3</v>
      </c>
      <c r="J5" s="97">
        <v>6.0000000000000001E-3</v>
      </c>
      <c r="K5" s="99">
        <v>5</v>
      </c>
    </row>
    <row r="6" spans="1:12" ht="14.65" thickTop="1" thickBot="1" x14ac:dyDescent="0.45">
      <c r="A6" s="88" t="s">
        <v>145</v>
      </c>
      <c r="B6" s="100">
        <v>40</v>
      </c>
      <c r="C6" s="101">
        <v>100</v>
      </c>
      <c r="D6" s="102">
        <v>400</v>
      </c>
      <c r="E6" s="101">
        <v>1600</v>
      </c>
      <c r="F6" s="102">
        <v>400</v>
      </c>
      <c r="G6" s="101">
        <v>800</v>
      </c>
      <c r="H6" s="102">
        <v>1600</v>
      </c>
      <c r="I6" s="101">
        <v>3200</v>
      </c>
      <c r="J6" s="102" t="s">
        <v>3</v>
      </c>
      <c r="K6" s="103"/>
      <c r="L6" s="104"/>
    </row>
    <row r="7" spans="1:12" ht="14.65" thickTop="1" thickBot="1" x14ac:dyDescent="0.45">
      <c r="A7" s="88" t="s">
        <v>146</v>
      </c>
      <c r="B7" s="100">
        <v>5</v>
      </c>
      <c r="C7" s="101">
        <v>20</v>
      </c>
      <c r="D7" s="102">
        <v>100</v>
      </c>
      <c r="E7" s="101">
        <v>400</v>
      </c>
      <c r="F7" s="102">
        <v>50</v>
      </c>
      <c r="G7" s="101">
        <v>100</v>
      </c>
      <c r="H7" s="102">
        <v>400</v>
      </c>
      <c r="I7" s="101">
        <v>1600</v>
      </c>
      <c r="J7" s="102">
        <v>1600</v>
      </c>
      <c r="K7" s="103"/>
      <c r="L7" s="104"/>
    </row>
    <row r="8" spans="1:12" ht="14.65" thickTop="1" thickBot="1" x14ac:dyDescent="0.45">
      <c r="A8" s="88" t="s">
        <v>147</v>
      </c>
      <c r="B8" s="100">
        <f>B5*B7</f>
        <v>17.5</v>
      </c>
      <c r="C8" s="105">
        <f t="shared" ref="C8:J8" si="0">C5*C7</f>
        <v>21.240000000000002</v>
      </c>
      <c r="D8" s="100">
        <f t="shared" si="0"/>
        <v>21</v>
      </c>
      <c r="E8" s="105">
        <f t="shared" si="0"/>
        <v>20</v>
      </c>
      <c r="F8" s="100">
        <f t="shared" si="0"/>
        <v>4.05</v>
      </c>
      <c r="G8" s="105">
        <f t="shared" si="0"/>
        <v>7.1</v>
      </c>
      <c r="H8" s="100">
        <f t="shared" si="0"/>
        <v>5.6000000000000005</v>
      </c>
      <c r="I8" s="105">
        <f t="shared" si="0"/>
        <v>9.6</v>
      </c>
      <c r="J8" s="100">
        <f t="shared" si="0"/>
        <v>9.6</v>
      </c>
      <c r="K8" s="106">
        <f>SUMPRODUCT(B5:J5,B7:J7)</f>
        <v>115.68999999999998</v>
      </c>
      <c r="L8" s="104"/>
    </row>
    <row r="9" spans="1:12" ht="27" thickTop="1" thickBot="1" x14ac:dyDescent="0.45">
      <c r="A9" s="88" t="s">
        <v>148</v>
      </c>
      <c r="B9" s="100" t="s">
        <v>123</v>
      </c>
      <c r="C9" s="101" t="s">
        <v>124</v>
      </c>
      <c r="D9" s="102">
        <v>10</v>
      </c>
      <c r="E9" s="101">
        <v>40</v>
      </c>
      <c r="F9" s="102">
        <v>25</v>
      </c>
      <c r="G9" s="101">
        <v>29</v>
      </c>
      <c r="H9" s="102">
        <v>142</v>
      </c>
      <c r="I9" s="101">
        <v>361</v>
      </c>
      <c r="J9" s="102">
        <v>361</v>
      </c>
      <c r="K9" s="103"/>
      <c r="L9" s="104"/>
    </row>
    <row r="10" spans="1:12" ht="14.65" thickTop="1" thickBot="1" x14ac:dyDescent="0.45">
      <c r="L10" s="104"/>
    </row>
    <row r="11" spans="1:12" ht="26.65" thickTop="1" thickBot="1" x14ac:dyDescent="0.45">
      <c r="A11" s="88" t="s">
        <v>149</v>
      </c>
      <c r="B11" s="89" t="s">
        <v>329</v>
      </c>
      <c r="C11" s="90" t="s">
        <v>330</v>
      </c>
      <c r="D11" s="91" t="s">
        <v>331</v>
      </c>
      <c r="E11" s="90" t="s">
        <v>332</v>
      </c>
      <c r="F11" s="89" t="s">
        <v>138</v>
      </c>
      <c r="G11" s="90" t="s">
        <v>139</v>
      </c>
      <c r="H11" s="91" t="s">
        <v>140</v>
      </c>
      <c r="I11" s="90" t="s">
        <v>141</v>
      </c>
      <c r="J11" s="91" t="s">
        <v>142</v>
      </c>
      <c r="K11" s="92" t="s">
        <v>143</v>
      </c>
      <c r="L11" s="104"/>
    </row>
    <row r="12" spans="1:12" ht="14.65" thickTop="1" thickBot="1" x14ac:dyDescent="0.45">
      <c r="A12" s="88" t="s">
        <v>144</v>
      </c>
      <c r="B12" s="93" t="s">
        <v>117</v>
      </c>
      <c r="C12" s="107" t="s">
        <v>117</v>
      </c>
      <c r="D12" s="93" t="s">
        <v>117</v>
      </c>
      <c r="E12" s="107" t="s">
        <v>117</v>
      </c>
      <c r="F12" s="93">
        <v>3.7</v>
      </c>
      <c r="G12" s="108">
        <v>0.99</v>
      </c>
      <c r="H12" s="95">
        <v>0.21</v>
      </c>
      <c r="I12" s="96">
        <v>0.05</v>
      </c>
      <c r="J12" s="95">
        <v>0.05</v>
      </c>
      <c r="K12" s="99">
        <v>5</v>
      </c>
    </row>
    <row r="13" spans="1:12" ht="14.65" thickTop="1" thickBot="1" x14ac:dyDescent="0.45">
      <c r="A13" s="88" t="s">
        <v>145</v>
      </c>
      <c r="B13" s="100" t="s">
        <v>117</v>
      </c>
      <c r="C13" s="105" t="s">
        <v>117</v>
      </c>
      <c r="D13" s="100" t="s">
        <v>117</v>
      </c>
      <c r="E13" s="105" t="s">
        <v>117</v>
      </c>
      <c r="F13" s="100">
        <v>400</v>
      </c>
      <c r="G13" s="101">
        <v>800</v>
      </c>
      <c r="H13" s="102">
        <v>1600</v>
      </c>
      <c r="I13" s="101">
        <v>3200</v>
      </c>
      <c r="J13" s="102" t="s">
        <v>3</v>
      </c>
      <c r="K13" s="103"/>
    </row>
    <row r="14" spans="1:12" ht="14.65" thickTop="1" thickBot="1" x14ac:dyDescent="0.45">
      <c r="A14" s="88" t="s">
        <v>146</v>
      </c>
      <c r="B14" s="100" t="s">
        <v>117</v>
      </c>
      <c r="C14" s="105" t="s">
        <v>117</v>
      </c>
      <c r="D14" s="100" t="s">
        <v>117</v>
      </c>
      <c r="E14" s="105" t="s">
        <v>117</v>
      </c>
      <c r="F14" s="100">
        <v>50</v>
      </c>
      <c r="G14" s="101">
        <v>100</v>
      </c>
      <c r="H14" s="102">
        <v>400</v>
      </c>
      <c r="I14" s="101">
        <v>1600</v>
      </c>
      <c r="J14" s="102">
        <v>1600</v>
      </c>
      <c r="K14" s="103"/>
    </row>
    <row r="15" spans="1:12" ht="14.65" thickTop="1" thickBot="1" x14ac:dyDescent="0.45">
      <c r="A15" s="88" t="s">
        <v>147</v>
      </c>
      <c r="B15" s="100" t="s">
        <v>117</v>
      </c>
      <c r="C15" s="105" t="s">
        <v>117</v>
      </c>
      <c r="D15" s="100" t="s">
        <v>117</v>
      </c>
      <c r="E15" s="105" t="s">
        <v>117</v>
      </c>
      <c r="F15" s="100">
        <f>F12*F14</f>
        <v>185</v>
      </c>
      <c r="G15" s="105">
        <f t="shared" ref="G15:J15" si="1">G12*G14</f>
        <v>99</v>
      </c>
      <c r="H15" s="100">
        <f t="shared" si="1"/>
        <v>84</v>
      </c>
      <c r="I15" s="105">
        <f t="shared" si="1"/>
        <v>80</v>
      </c>
      <c r="J15" s="100">
        <f t="shared" si="1"/>
        <v>80</v>
      </c>
      <c r="K15" s="106">
        <f>SUMPRODUCT(F12:J12,F14:J14)</f>
        <v>528</v>
      </c>
    </row>
    <row r="16" spans="1:12" ht="27" thickTop="1" thickBot="1" x14ac:dyDescent="0.45">
      <c r="A16" s="88" t="s">
        <v>148</v>
      </c>
      <c r="B16" s="100" t="s">
        <v>117</v>
      </c>
      <c r="C16" s="105" t="s">
        <v>117</v>
      </c>
      <c r="D16" s="100" t="s">
        <v>117</v>
      </c>
      <c r="E16" s="105" t="s">
        <v>117</v>
      </c>
      <c r="F16" s="100" t="s">
        <v>125</v>
      </c>
      <c r="G16" s="101" t="s">
        <v>124</v>
      </c>
      <c r="H16" s="102">
        <v>10</v>
      </c>
      <c r="I16" s="101">
        <v>40</v>
      </c>
      <c r="J16" s="102">
        <v>40</v>
      </c>
      <c r="K16" s="103"/>
    </row>
    <row r="17" spans="1:1" ht="14.65" thickTop="1" x14ac:dyDescent="0.4">
      <c r="A17" s="86" t="s">
        <v>333</v>
      </c>
    </row>
    <row r="18" spans="1:1" x14ac:dyDescent="0.4">
      <c r="A18" s="156" t="s">
        <v>317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3488-A108-4321-87F0-F2ACEDAFBE86}">
  <dimension ref="A1:Q28"/>
  <sheetViews>
    <sheetView zoomScaleNormal="100" workbookViewId="0">
      <selection activeCell="K24" sqref="K24"/>
    </sheetView>
  </sheetViews>
  <sheetFormatPr defaultRowHeight="13.9" x14ac:dyDescent="0.4"/>
  <cols>
    <col min="1" max="1" width="10.9296875" style="110" bestFit="1" customWidth="1"/>
    <col min="2" max="3" width="6.1328125" style="110" bestFit="1" customWidth="1"/>
    <col min="4" max="6" width="6.73046875" style="110" bestFit="1" customWidth="1"/>
    <col min="7" max="12" width="7.19921875" style="110" bestFit="1" customWidth="1"/>
    <col min="13" max="13" width="5.53125" style="110" bestFit="1" customWidth="1"/>
    <col min="14" max="14" width="6.19921875" style="110" bestFit="1" customWidth="1"/>
    <col min="15" max="16" width="7.19921875" style="110" bestFit="1" customWidth="1"/>
    <col min="17" max="17" width="8.06640625" style="110" bestFit="1" customWidth="1"/>
    <col min="18" max="18" width="9.06640625" style="110" customWidth="1"/>
    <col min="19" max="19" width="14.3984375" style="110" bestFit="1" customWidth="1"/>
    <col min="20" max="21" width="8.9296875" style="110" bestFit="1" customWidth="1"/>
    <col min="22" max="22" width="10.9296875" style="110" bestFit="1" customWidth="1"/>
    <col min="23" max="23" width="9.06640625" style="110" customWidth="1"/>
    <col min="24" max="24" width="9.19921875" style="110" bestFit="1" customWidth="1"/>
    <col min="25" max="16384" width="9.06640625" style="110"/>
  </cols>
  <sheetData>
    <row r="1" spans="1:17" ht="15" thickTop="1" thickBot="1" x14ac:dyDescent="0.45">
      <c r="A1" s="109">
        <v>0.5</v>
      </c>
      <c r="B1" s="83" t="s">
        <v>9</v>
      </c>
      <c r="C1" s="84" t="s">
        <v>26</v>
      </c>
      <c r="D1" s="84" t="s">
        <v>28</v>
      </c>
      <c r="E1" s="84" t="s">
        <v>12</v>
      </c>
      <c r="F1" s="84" t="s">
        <v>33</v>
      </c>
      <c r="G1" s="84" t="s">
        <v>36</v>
      </c>
      <c r="H1" s="84" t="s">
        <v>39</v>
      </c>
      <c r="I1" s="84" t="s">
        <v>42</v>
      </c>
      <c r="J1" s="84" t="s">
        <v>45</v>
      </c>
      <c r="K1" s="84" t="s">
        <v>48</v>
      </c>
      <c r="L1" s="84" t="s">
        <v>51</v>
      </c>
      <c r="M1" s="84" t="s">
        <v>53</v>
      </c>
      <c r="N1" s="84" t="s">
        <v>2</v>
      </c>
      <c r="O1" s="84" t="s">
        <v>1</v>
      </c>
      <c r="P1" s="84" t="s">
        <v>0</v>
      </c>
      <c r="Q1" s="110" t="s">
        <v>151</v>
      </c>
    </row>
    <row r="2" spans="1:17" ht="14.25" x14ac:dyDescent="0.4">
      <c r="A2" s="110" t="s">
        <v>152</v>
      </c>
      <c r="B2" s="111">
        <v>0</v>
      </c>
      <c r="C2" s="111">
        <v>0.25</v>
      </c>
      <c r="D2" s="111">
        <v>0.4</v>
      </c>
      <c r="E2" s="111">
        <v>0.5</v>
      </c>
      <c r="F2" s="111">
        <v>0.5714285714285714</v>
      </c>
      <c r="G2" s="111">
        <v>0.625</v>
      </c>
      <c r="H2" s="111">
        <v>0.66666666666666663</v>
      </c>
      <c r="I2" s="111">
        <v>0.7</v>
      </c>
      <c r="J2" s="111">
        <v>0.72727272727272729</v>
      </c>
      <c r="K2" s="111">
        <v>0.75</v>
      </c>
      <c r="L2" s="111">
        <v>0.76923076923076927</v>
      </c>
      <c r="M2" s="111">
        <v>0.7857142857142857</v>
      </c>
      <c r="N2" s="111">
        <v>0.8571428571428571</v>
      </c>
      <c r="O2" s="111">
        <v>0.92307692307692313</v>
      </c>
      <c r="P2" s="111">
        <v>1</v>
      </c>
    </row>
    <row r="3" spans="1:17" ht="14.25" x14ac:dyDescent="0.4">
      <c r="A3" s="110" t="s">
        <v>153</v>
      </c>
      <c r="B3" s="114">
        <f>COMBIN(2,2)*A1^0*(1-A1)^(2+1)</f>
        <v>0.125</v>
      </c>
      <c r="C3" s="114">
        <f>COMBIN(3,2)*A1^1*(1-A1)^(2+1)</f>
        <v>0.1875</v>
      </c>
      <c r="D3" s="114">
        <f>COMBIN(4,2)*A1^2*(1-A1)^(2+1)</f>
        <v>0.1875</v>
      </c>
      <c r="E3" s="114">
        <f>COMBIN(5,2)*A1^3*(1-A1)^(2+1)</f>
        <v>0.15625</v>
      </c>
      <c r="F3" s="114">
        <f>COMBIN(6,2)*A1^4*(1-A1)^(2+1)</f>
        <v>0.1171875</v>
      </c>
      <c r="G3" s="114">
        <f>COMBIN(7,2)*A1^5*(1-A1)^(2+1)</f>
        <v>8.203125E-2</v>
      </c>
      <c r="H3" s="114">
        <f>COMBIN(8,2)*A1^6*(1-A1)^(2+1)</f>
        <v>5.46875E-2</v>
      </c>
      <c r="I3" s="114">
        <f>COMBIN(9,2)*A1^7*(1-A1)^(2+1)</f>
        <v>3.515625E-2</v>
      </c>
      <c r="J3" s="114">
        <f>COMBIN(10,2)*A1^8*(1-A1)^(2+1)</f>
        <v>2.197265625E-2</v>
      </c>
      <c r="K3" s="114">
        <f>COMBIN(11,2)*A1^9*(1-A1)^(2+1)</f>
        <v>1.3427734375E-2</v>
      </c>
      <c r="L3" s="114">
        <f>COMBIN(12,2)*A1^10*(1-A1)^(2+1)</f>
        <v>8.056640625E-3</v>
      </c>
      <c r="M3" s="114">
        <f>COMBIN(13,2)*A1^11*(1-A1)^(2+1)</f>
        <v>4.7607421875E-3</v>
      </c>
      <c r="N3" s="114">
        <f>COMBIN(13,2)*A1^(11+1)*(1-A1)^(2)</f>
        <v>4.7607421875E-3</v>
      </c>
      <c r="O3" s="114">
        <f>COMBIN(12,1)*A1^(11+1)*(1-A1)^(1)</f>
        <v>1.46484375E-3</v>
      </c>
      <c r="P3" s="114">
        <f>COMBIN(12,0)*A1^(11+1)*(1-A1)^(0)</f>
        <v>2.44140625E-4</v>
      </c>
      <c r="Q3" s="115">
        <f>SUM(B3:P3)</f>
        <v>1</v>
      </c>
    </row>
    <row r="4" spans="1:17" ht="14.25" x14ac:dyDescent="0.4">
      <c r="A4" s="116" t="s">
        <v>154</v>
      </c>
      <c r="B4" s="117">
        <v>0</v>
      </c>
      <c r="C4" s="118">
        <v>25</v>
      </c>
      <c r="D4" s="117">
        <v>62.5</v>
      </c>
      <c r="E4" s="118">
        <v>87.5</v>
      </c>
      <c r="F4" s="117">
        <v>130</v>
      </c>
      <c r="G4" s="118">
        <v>181.25</v>
      </c>
      <c r="H4" s="117">
        <v>318.75</v>
      </c>
      <c r="I4" s="118">
        <v>416.25</v>
      </c>
      <c r="J4" s="117">
        <v>438.75</v>
      </c>
      <c r="K4" s="118">
        <v>511.25</v>
      </c>
      <c r="L4" s="117">
        <v>621.25</v>
      </c>
      <c r="M4" s="118">
        <v>750</v>
      </c>
      <c r="N4" s="117">
        <v>847.5</v>
      </c>
      <c r="O4" s="118">
        <v>876.25</v>
      </c>
      <c r="P4" s="117">
        <v>898.75</v>
      </c>
      <c r="Q4" s="112">
        <f>SUMPRODUCT(B3:P3,B4:P4)/300</f>
        <v>0.40954996744791666</v>
      </c>
    </row>
    <row r="5" spans="1:17" ht="14.25" x14ac:dyDescent="0.4">
      <c r="A5" s="116" t="s">
        <v>156</v>
      </c>
      <c r="B5" s="117">
        <v>0</v>
      </c>
      <c r="C5" s="118">
        <v>0</v>
      </c>
      <c r="D5" s="117">
        <v>35</v>
      </c>
      <c r="E5" s="118">
        <v>62.5</v>
      </c>
      <c r="F5" s="117">
        <v>105</v>
      </c>
      <c r="G5" s="118">
        <v>150</v>
      </c>
      <c r="H5" s="117">
        <v>250</v>
      </c>
      <c r="I5" s="118">
        <v>420</v>
      </c>
      <c r="J5" s="117">
        <v>440</v>
      </c>
      <c r="K5" s="118">
        <v>460</v>
      </c>
      <c r="L5" s="117">
        <v>480</v>
      </c>
      <c r="M5" s="118">
        <v>500</v>
      </c>
      <c r="N5" s="117">
        <v>520</v>
      </c>
      <c r="O5" s="118">
        <v>540</v>
      </c>
      <c r="P5" s="117">
        <v>560</v>
      </c>
      <c r="Q5" s="112">
        <f>SUMPRODUCT(B3:P3,B5:P5)/300</f>
        <v>0.31623535156249999</v>
      </c>
    </row>
    <row r="6" spans="1:17" ht="14.25" x14ac:dyDescent="0.4">
      <c r="A6" s="116" t="s">
        <v>158</v>
      </c>
      <c r="B6" s="117">
        <v>9.1666666666666661</v>
      </c>
      <c r="C6" s="118">
        <v>10.833333333333334</v>
      </c>
      <c r="D6" s="117">
        <v>15</v>
      </c>
      <c r="E6" s="118">
        <v>37.5</v>
      </c>
      <c r="F6" s="117">
        <v>62.5</v>
      </c>
      <c r="G6" s="118">
        <v>72.5</v>
      </c>
      <c r="H6" s="117">
        <v>97.5</v>
      </c>
      <c r="I6" s="118">
        <v>162.5</v>
      </c>
      <c r="J6" s="117">
        <v>183.75</v>
      </c>
      <c r="K6" s="118">
        <v>215</v>
      </c>
      <c r="L6" s="117">
        <v>254.16666666666666</v>
      </c>
      <c r="M6" s="118">
        <v>306.66666666666663</v>
      </c>
      <c r="N6" s="117">
        <v>358.33333333333331</v>
      </c>
      <c r="O6" s="118">
        <v>358.33333333333331</v>
      </c>
      <c r="P6" s="117">
        <v>358.33333333333331</v>
      </c>
      <c r="Q6" s="112">
        <f>SUMPRODUCT(B3:P3,B6:P6)/150</f>
        <v>0.32610541449652775</v>
      </c>
    </row>
    <row r="7" spans="1:17" ht="14.25" x14ac:dyDescent="0.4">
      <c r="A7" s="116" t="s">
        <v>159</v>
      </c>
      <c r="B7" s="117">
        <v>0</v>
      </c>
      <c r="C7" s="118">
        <v>0</v>
      </c>
      <c r="D7" s="117">
        <v>0</v>
      </c>
      <c r="E7" s="118">
        <v>120</v>
      </c>
      <c r="F7" s="117">
        <v>190</v>
      </c>
      <c r="G7" s="118">
        <v>220</v>
      </c>
      <c r="H7" s="117">
        <v>250</v>
      </c>
      <c r="I7" s="118">
        <v>280</v>
      </c>
      <c r="J7" s="117">
        <v>310</v>
      </c>
      <c r="K7" s="118">
        <v>400</v>
      </c>
      <c r="L7" s="117">
        <v>400</v>
      </c>
      <c r="M7" s="118">
        <v>480</v>
      </c>
      <c r="N7" s="117">
        <v>1100</v>
      </c>
      <c r="O7" s="118">
        <v>1100</v>
      </c>
      <c r="P7" s="117">
        <v>1100</v>
      </c>
      <c r="Q7" s="112">
        <f>SUMPRODUCT(B3:P3,B7:P7)/1000</f>
        <v>0.10738525390625001</v>
      </c>
    </row>
    <row r="8" spans="1:17" ht="14.25" x14ac:dyDescent="0.4">
      <c r="A8" s="120" t="s">
        <v>160</v>
      </c>
      <c r="B8" s="121">
        <v>0.57999999999999996</v>
      </c>
      <c r="C8" s="122">
        <v>0.52</v>
      </c>
      <c r="D8" s="121">
        <v>0.79</v>
      </c>
      <c r="E8" s="122">
        <v>0.88</v>
      </c>
      <c r="F8" s="123">
        <v>1.02</v>
      </c>
      <c r="G8" s="122">
        <v>1.04</v>
      </c>
      <c r="H8" s="121">
        <v>1.5</v>
      </c>
      <c r="I8" s="122">
        <v>1.53</v>
      </c>
      <c r="J8" s="121">
        <v>1.9</v>
      </c>
      <c r="K8" s="122">
        <v>2.14</v>
      </c>
      <c r="L8" s="121">
        <v>2.66</v>
      </c>
      <c r="M8" s="122">
        <v>3.08</v>
      </c>
      <c r="N8" s="121">
        <v>5.93</v>
      </c>
      <c r="O8" s="122">
        <v>6.03</v>
      </c>
      <c r="P8" s="121">
        <v>6.1</v>
      </c>
      <c r="Q8" s="112">
        <f>SUMPRODUCT(B3:P3,B8:P8)</f>
        <v>0.94141967773437507</v>
      </c>
    </row>
    <row r="9" spans="1:17" ht="14.25" x14ac:dyDescent="0.4">
      <c r="A9" s="120" t="s">
        <v>161</v>
      </c>
      <c r="B9" s="121">
        <v>0.57999999999999996</v>
      </c>
      <c r="C9" s="122">
        <v>0.57999999999999996</v>
      </c>
      <c r="D9" s="121">
        <v>0.7</v>
      </c>
      <c r="E9" s="122">
        <v>0.79</v>
      </c>
      <c r="F9" s="121">
        <v>0.93</v>
      </c>
      <c r="G9" s="123">
        <v>1.17</v>
      </c>
      <c r="H9" s="121">
        <v>1.79</v>
      </c>
      <c r="I9" s="122">
        <v>2.46</v>
      </c>
      <c r="J9" s="121">
        <v>2.87</v>
      </c>
      <c r="K9" s="122">
        <v>3.21</v>
      </c>
      <c r="L9" s="121">
        <v>3.94</v>
      </c>
      <c r="M9" s="122">
        <v>5.05</v>
      </c>
      <c r="N9" s="121">
        <v>5.94</v>
      </c>
      <c r="O9" s="122">
        <v>6.2</v>
      </c>
      <c r="P9" s="121">
        <v>6.45</v>
      </c>
      <c r="Q9" s="112">
        <f>SUMPRODUCT(B3:P3,B9:P9)</f>
        <v>1.0261584472656249</v>
      </c>
    </row>
    <row r="10" spans="1:17" ht="14.25" x14ac:dyDescent="0.4">
      <c r="A10" s="124" t="s">
        <v>162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19"/>
    </row>
    <row r="11" spans="1:17" ht="14.25" x14ac:dyDescent="0.4">
      <c r="A11" s="124" t="s">
        <v>163</v>
      </c>
      <c r="B11" s="121">
        <v>0.09</v>
      </c>
      <c r="C11" s="122">
        <v>0.18</v>
      </c>
      <c r="D11" s="121">
        <v>0.26</v>
      </c>
      <c r="E11" s="122">
        <v>0.56000000000000005</v>
      </c>
      <c r="F11" s="121">
        <v>0.77</v>
      </c>
      <c r="G11" s="122">
        <v>0.91</v>
      </c>
      <c r="H11" s="123">
        <v>1.05</v>
      </c>
      <c r="I11" s="122">
        <v>1.19</v>
      </c>
      <c r="J11" s="121">
        <v>1.33</v>
      </c>
      <c r="K11" s="122">
        <v>2.11</v>
      </c>
      <c r="L11" s="121">
        <v>3.32</v>
      </c>
      <c r="M11" s="122">
        <v>4.67</v>
      </c>
      <c r="N11" s="121">
        <v>9.9499999999999993</v>
      </c>
      <c r="O11" s="122">
        <v>9.9499999999999993</v>
      </c>
      <c r="P11" s="121">
        <v>9.9499999999999993</v>
      </c>
      <c r="Q11" s="112">
        <f>SUMPRODUCT(B3:P3,B11:P11)</f>
        <v>0.61630126953124997</v>
      </c>
    </row>
    <row r="12" spans="1:17" ht="14.25" x14ac:dyDescent="0.4">
      <c r="A12" s="116" t="s">
        <v>164</v>
      </c>
      <c r="B12" s="127">
        <v>0</v>
      </c>
      <c r="C12" s="127">
        <v>8.3333333333333329E-2</v>
      </c>
      <c r="D12" s="127">
        <v>0.20833333333333334</v>
      </c>
      <c r="E12" s="127">
        <v>0.29166666666666669</v>
      </c>
      <c r="F12" s="127">
        <v>0.43333333333333335</v>
      </c>
      <c r="G12" s="127">
        <v>0.60416666666666663</v>
      </c>
      <c r="H12" s="123">
        <v>1.0625</v>
      </c>
      <c r="I12" s="127">
        <v>1.3875</v>
      </c>
      <c r="J12" s="127">
        <v>1.4624999999999999</v>
      </c>
      <c r="K12" s="127">
        <v>1.7041666666666666</v>
      </c>
      <c r="L12" s="127">
        <v>2.0708333333333333</v>
      </c>
      <c r="M12" s="127">
        <v>2.5</v>
      </c>
      <c r="N12" s="127">
        <v>2.8250000000000002</v>
      </c>
      <c r="O12" s="127">
        <v>2.9208333333333334</v>
      </c>
      <c r="P12" s="127">
        <v>2.9958333333333331</v>
      </c>
      <c r="Q12" s="128">
        <v>0.40954996744791666</v>
      </c>
    </row>
    <row r="13" spans="1:17" ht="14.25" x14ac:dyDescent="0.4">
      <c r="A13" s="116" t="s">
        <v>165</v>
      </c>
      <c r="B13" s="127">
        <v>0</v>
      </c>
      <c r="C13" s="127">
        <v>0</v>
      </c>
      <c r="D13" s="127">
        <v>0.11666666666666667</v>
      </c>
      <c r="E13" s="127">
        <v>0.20833333333333334</v>
      </c>
      <c r="F13" s="127">
        <v>0.35</v>
      </c>
      <c r="G13" s="127">
        <v>0.5</v>
      </c>
      <c r="H13" s="127">
        <v>0.83333333333333337</v>
      </c>
      <c r="I13" s="123">
        <v>1.4</v>
      </c>
      <c r="J13" s="127">
        <v>1.4666666666666666</v>
      </c>
      <c r="K13" s="127">
        <v>1.5333333333333334</v>
      </c>
      <c r="L13" s="127">
        <v>1.6</v>
      </c>
      <c r="M13" s="127">
        <v>1.6666666666666667</v>
      </c>
      <c r="N13" s="127">
        <v>1.7333333333333334</v>
      </c>
      <c r="O13" s="127">
        <v>1.8</v>
      </c>
      <c r="P13" s="127">
        <v>1.8666666666666667</v>
      </c>
      <c r="Q13" s="128">
        <v>0.31623535156249999</v>
      </c>
    </row>
    <row r="14" spans="1:17" ht="14.25" x14ac:dyDescent="0.4">
      <c r="A14" s="116" t="s">
        <v>166</v>
      </c>
      <c r="B14" s="127">
        <v>6.1111111111111109E-2</v>
      </c>
      <c r="C14" s="127">
        <v>7.2222222222222229E-2</v>
      </c>
      <c r="D14" s="127">
        <v>0.1</v>
      </c>
      <c r="E14" s="127">
        <v>0.25</v>
      </c>
      <c r="F14" s="127">
        <v>0.41666666666666669</v>
      </c>
      <c r="G14" s="127">
        <v>0.48333333333333334</v>
      </c>
      <c r="H14" s="127">
        <v>0.65</v>
      </c>
      <c r="I14" s="123">
        <v>1.0833333333333333</v>
      </c>
      <c r="J14" s="127">
        <v>1.2250000000000001</v>
      </c>
      <c r="K14" s="127">
        <v>1.4333333333333333</v>
      </c>
      <c r="L14" s="127">
        <v>1.6944444444444444</v>
      </c>
      <c r="M14" s="127">
        <v>2.0444444444444443</v>
      </c>
      <c r="N14" s="127">
        <v>2.3888888888888888</v>
      </c>
      <c r="O14" s="127">
        <v>2.3888888888888888</v>
      </c>
      <c r="P14" s="127">
        <v>2.3888888888888888</v>
      </c>
      <c r="Q14" s="128">
        <v>0.32610541449652775</v>
      </c>
    </row>
    <row r="15" spans="1:17" ht="14.25" x14ac:dyDescent="0.4">
      <c r="A15" s="116" t="s">
        <v>167</v>
      </c>
      <c r="B15" s="127">
        <v>0</v>
      </c>
      <c r="C15" s="127">
        <v>0</v>
      </c>
      <c r="D15" s="127">
        <v>0</v>
      </c>
      <c r="E15" s="127">
        <v>0.12</v>
      </c>
      <c r="F15" s="127">
        <v>0.19</v>
      </c>
      <c r="G15" s="127">
        <v>0.22</v>
      </c>
      <c r="H15" s="127">
        <v>0.25</v>
      </c>
      <c r="I15" s="127">
        <v>0.28000000000000003</v>
      </c>
      <c r="J15" s="127">
        <v>0.31</v>
      </c>
      <c r="K15" s="127">
        <v>0.4</v>
      </c>
      <c r="L15" s="127">
        <v>0.4</v>
      </c>
      <c r="M15" s="127">
        <v>0.48</v>
      </c>
      <c r="N15" s="123">
        <v>1.1000000000000001</v>
      </c>
      <c r="O15" s="127">
        <v>1.1000000000000001</v>
      </c>
      <c r="P15" s="127">
        <v>1.1000000000000001</v>
      </c>
      <c r="Q15" s="128">
        <v>0.10738525390625001</v>
      </c>
    </row>
    <row r="16" spans="1:17" ht="14.25" x14ac:dyDescent="0.4">
      <c r="A16" s="129" t="s">
        <v>168</v>
      </c>
      <c r="B16" s="130">
        <v>0</v>
      </c>
      <c r="C16" s="130">
        <v>25</v>
      </c>
      <c r="D16" s="130">
        <v>62.5</v>
      </c>
      <c r="E16" s="130">
        <v>87.5</v>
      </c>
      <c r="F16" s="130">
        <v>130</v>
      </c>
      <c r="G16" s="130">
        <v>181.25</v>
      </c>
      <c r="H16" s="130">
        <v>268.75</v>
      </c>
      <c r="I16" s="130">
        <v>356.25</v>
      </c>
      <c r="J16" s="130">
        <v>368.75</v>
      </c>
      <c r="K16" s="130">
        <v>431.25</v>
      </c>
      <c r="L16" s="130">
        <v>531.25</v>
      </c>
      <c r="M16" s="130">
        <v>650</v>
      </c>
      <c r="N16" s="130">
        <v>737.5</v>
      </c>
      <c r="O16" s="130">
        <v>756.25</v>
      </c>
      <c r="P16" s="130">
        <v>768.75</v>
      </c>
      <c r="Q16" s="113">
        <f>SUMPRODUCT(B3:P3,B16:P16)/300</f>
        <v>0.37825520833333331</v>
      </c>
    </row>
    <row r="17" spans="1:17" ht="14.25" x14ac:dyDescent="0.4">
      <c r="A17" s="129" t="s">
        <v>169</v>
      </c>
      <c r="B17" s="130">
        <v>0</v>
      </c>
      <c r="C17" s="130">
        <v>0</v>
      </c>
      <c r="D17" s="130">
        <v>35</v>
      </c>
      <c r="E17" s="130">
        <v>62.5</v>
      </c>
      <c r="F17" s="130">
        <v>105</v>
      </c>
      <c r="G17" s="130">
        <v>150</v>
      </c>
      <c r="H17" s="130">
        <v>225</v>
      </c>
      <c r="I17" s="130">
        <v>300</v>
      </c>
      <c r="J17" s="130">
        <v>300</v>
      </c>
      <c r="K17" s="130">
        <v>300</v>
      </c>
      <c r="L17" s="130">
        <v>300</v>
      </c>
      <c r="M17" s="130">
        <v>300</v>
      </c>
      <c r="N17" s="130">
        <v>300</v>
      </c>
      <c r="O17" s="130">
        <v>300</v>
      </c>
      <c r="P17" s="130">
        <v>300</v>
      </c>
      <c r="Q17" s="113">
        <f>SUMPRODUCT(B3:P3,B17:P17)/300</f>
        <v>0.26731770833333335</v>
      </c>
    </row>
    <row r="18" spans="1:17" ht="14.25" x14ac:dyDescent="0.4">
      <c r="A18" s="110" t="s">
        <v>170</v>
      </c>
    </row>
    <row r="19" spans="1:17" x14ac:dyDescent="0.4">
      <c r="A19" s="180" t="s">
        <v>328</v>
      </c>
      <c r="B19" s="173" t="s">
        <v>318</v>
      </c>
      <c r="C19" s="173" t="s">
        <v>319</v>
      </c>
      <c r="D19" s="173" t="s">
        <v>320</v>
      </c>
      <c r="E19" s="173" t="s">
        <v>321</v>
      </c>
      <c r="F19" s="173" t="s">
        <v>322</v>
      </c>
    </row>
    <row r="20" spans="1:17" x14ac:dyDescent="0.4">
      <c r="A20" s="173" t="s">
        <v>323</v>
      </c>
      <c r="B20" s="174">
        <v>0.409549967447917</v>
      </c>
      <c r="C20" s="175">
        <v>0.37825520833333331</v>
      </c>
      <c r="D20" s="174">
        <v>0.94141967773437507</v>
      </c>
      <c r="E20" s="176">
        <v>0.66100000000000003</v>
      </c>
      <c r="F20" s="176">
        <v>0.52200000000000002</v>
      </c>
      <c r="G20" s="173"/>
    </row>
    <row r="21" spans="1:17" x14ac:dyDescent="0.4">
      <c r="A21" s="173" t="s">
        <v>324</v>
      </c>
      <c r="B21" s="174">
        <v>0.31623535156250004</v>
      </c>
      <c r="C21" s="175">
        <v>0.26731770833333335</v>
      </c>
      <c r="D21" s="174">
        <v>1.0261584472656249</v>
      </c>
      <c r="E21" s="176">
        <v>0.71799999999999997</v>
      </c>
      <c r="F21" s="176">
        <v>0.49299999999999999</v>
      </c>
      <c r="G21" s="173"/>
    </row>
    <row r="22" spans="1:17" x14ac:dyDescent="0.4">
      <c r="A22" s="173" t="s">
        <v>325</v>
      </c>
      <c r="B22" s="174">
        <v>0.32610541449652769</v>
      </c>
      <c r="C22" s="174">
        <v>0.32610541449652769</v>
      </c>
      <c r="D22" s="177"/>
      <c r="E22" s="176">
        <v>0.70099999999999996</v>
      </c>
      <c r="F22" s="177"/>
      <c r="G22" s="173"/>
    </row>
    <row r="23" spans="1:17" x14ac:dyDescent="0.4">
      <c r="A23" s="173" t="s">
        <v>326</v>
      </c>
      <c r="B23" s="174">
        <v>0.10738525390625001</v>
      </c>
      <c r="C23" s="174">
        <v>0.10738525390625001</v>
      </c>
      <c r="D23" s="174">
        <v>0.61630126953124997</v>
      </c>
      <c r="E23" s="178">
        <v>0.91</v>
      </c>
      <c r="F23" s="176">
        <v>0.57499999999999996</v>
      </c>
      <c r="G23" s="173"/>
    </row>
    <row r="24" spans="1:17" x14ac:dyDescent="0.4">
      <c r="A24" s="173"/>
      <c r="B24" s="173"/>
      <c r="C24" s="173"/>
      <c r="D24" s="173"/>
      <c r="E24" s="173" t="s">
        <v>327</v>
      </c>
      <c r="F24" s="173"/>
      <c r="G24" s="179"/>
      <c r="H24" s="131"/>
      <c r="I24" s="131"/>
      <c r="J24" s="131"/>
      <c r="K24" s="131"/>
      <c r="L24" s="131"/>
      <c r="M24" s="131"/>
      <c r="N24" s="131"/>
      <c r="O24" s="131"/>
      <c r="P24" s="131"/>
      <c r="Q24" s="131"/>
    </row>
    <row r="25" spans="1:17" x14ac:dyDescent="0.4">
      <c r="G25" s="173"/>
      <c r="H25" s="132"/>
      <c r="I25" s="132"/>
      <c r="J25" s="132"/>
      <c r="K25" s="132"/>
      <c r="L25" s="132"/>
      <c r="M25" s="132"/>
      <c r="N25" s="132"/>
      <c r="O25" s="132"/>
      <c r="P25" s="132"/>
      <c r="Q25" s="132"/>
    </row>
    <row r="27" spans="1:17" x14ac:dyDescent="0.4">
      <c r="H27" s="132"/>
      <c r="I27" s="132"/>
      <c r="J27" s="132"/>
      <c r="K27" s="132"/>
      <c r="L27" s="132"/>
      <c r="M27" s="132"/>
      <c r="N27" s="132"/>
      <c r="O27" s="132"/>
      <c r="P27" s="132"/>
      <c r="Q27" s="132"/>
    </row>
    <row r="28" spans="1:17" x14ac:dyDescent="0.4">
      <c r="H28" s="132"/>
      <c r="I28" s="132"/>
      <c r="J28" s="132"/>
      <c r="K28" s="132"/>
      <c r="L28" s="132"/>
      <c r="M28" s="132"/>
      <c r="N28" s="132"/>
      <c r="O28" s="132"/>
      <c r="P28" s="132"/>
      <c r="Q28" s="13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1E31-AF64-40B5-BCFB-C38766D3E7C9}">
  <dimension ref="A1:V29"/>
  <sheetViews>
    <sheetView workbookViewId="0">
      <selection activeCell="G20" sqref="G20"/>
    </sheetView>
  </sheetViews>
  <sheetFormatPr defaultRowHeight="13.9" x14ac:dyDescent="0.4"/>
  <cols>
    <col min="1" max="1" width="10.796875" bestFit="1" customWidth="1"/>
    <col min="2" max="6" width="6.46484375" bestFit="1" customWidth="1"/>
    <col min="7" max="12" width="7.06640625" bestFit="1" customWidth="1"/>
    <col min="13" max="13" width="5.46484375" bestFit="1" customWidth="1"/>
    <col min="14" max="14" width="6.06640625" bestFit="1" customWidth="1"/>
    <col min="15" max="16" width="7.06640625" bestFit="1" customWidth="1"/>
    <col min="17" max="17" width="7.46484375" bestFit="1" customWidth="1"/>
    <col min="18" max="18" width="9.06640625" customWidth="1"/>
    <col min="19" max="19" width="14.3984375" bestFit="1" customWidth="1"/>
    <col min="20" max="21" width="8.796875" bestFit="1" customWidth="1"/>
    <col min="22" max="22" width="10.796875" bestFit="1" customWidth="1"/>
  </cols>
  <sheetData>
    <row r="1" spans="1:22" x14ac:dyDescent="0.4">
      <c r="B1" t="s">
        <v>8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0</v>
      </c>
      <c r="Q1" t="s">
        <v>55</v>
      </c>
      <c r="T1" t="s">
        <v>75</v>
      </c>
      <c r="U1" t="s">
        <v>98</v>
      </c>
      <c r="V1" t="s">
        <v>76</v>
      </c>
    </row>
    <row r="2" spans="1:22" x14ac:dyDescent="0.4">
      <c r="A2" t="s">
        <v>54</v>
      </c>
      <c r="B2">
        <v>1024</v>
      </c>
      <c r="C2">
        <v>1536</v>
      </c>
      <c r="D2">
        <v>1536</v>
      </c>
      <c r="E2">
        <v>1280</v>
      </c>
      <c r="F2">
        <v>960</v>
      </c>
      <c r="G2">
        <v>672</v>
      </c>
      <c r="H2">
        <v>448</v>
      </c>
      <c r="I2">
        <v>288</v>
      </c>
      <c r="J2">
        <v>180</v>
      </c>
      <c r="K2">
        <v>110</v>
      </c>
      <c r="L2">
        <v>66</v>
      </c>
      <c r="M2">
        <v>39</v>
      </c>
      <c r="N2">
        <v>39</v>
      </c>
      <c r="O2">
        <v>12</v>
      </c>
      <c r="P2">
        <v>2</v>
      </c>
      <c r="Q2">
        <v>8192</v>
      </c>
      <c r="S2" t="s">
        <v>77</v>
      </c>
      <c r="T2" s="7">
        <v>0.40954996744791666</v>
      </c>
      <c r="U2" s="2">
        <v>0.37825520833333331</v>
      </c>
      <c r="V2" s="7">
        <v>0.94141967773437507</v>
      </c>
    </row>
    <row r="3" spans="1:22" x14ac:dyDescent="0.4">
      <c r="A3" t="s">
        <v>56</v>
      </c>
      <c r="B3" s="3">
        <v>0.125</v>
      </c>
      <c r="C3" s="3">
        <v>0.1875</v>
      </c>
      <c r="D3" s="3">
        <v>0.1875</v>
      </c>
      <c r="E3" s="3">
        <v>0.15625</v>
      </c>
      <c r="F3" s="3">
        <v>0.1171875</v>
      </c>
      <c r="G3" s="3">
        <v>8.203125E-2</v>
      </c>
      <c r="H3" s="3">
        <v>5.46875E-2</v>
      </c>
      <c r="I3" s="3">
        <v>3.515625E-2</v>
      </c>
      <c r="J3" s="3">
        <v>2.197265625E-2</v>
      </c>
      <c r="K3" s="3">
        <v>1.3427734375E-2</v>
      </c>
      <c r="L3" s="3">
        <v>8.056640625E-3</v>
      </c>
      <c r="M3" s="3">
        <v>4.7607421875E-3</v>
      </c>
      <c r="N3" s="3">
        <v>4.7607421875E-3</v>
      </c>
      <c r="O3" s="3">
        <v>1.46484375E-3</v>
      </c>
      <c r="P3" s="3">
        <v>2.44140625E-4</v>
      </c>
      <c r="Q3" s="5">
        <v>1</v>
      </c>
      <c r="S3" t="s">
        <v>97</v>
      </c>
      <c r="T3" s="7">
        <v>0.31623535156250004</v>
      </c>
      <c r="U3" s="2">
        <v>0.26731770833333335</v>
      </c>
      <c r="V3" s="7">
        <v>1.0261584472656249</v>
      </c>
    </row>
    <row r="4" spans="1:22" x14ac:dyDescent="0.4">
      <c r="A4" s="10" t="s">
        <v>83</v>
      </c>
      <c r="B4" s="8">
        <v>0</v>
      </c>
      <c r="C4" s="9">
        <v>25</v>
      </c>
      <c r="D4" s="8">
        <v>62.5</v>
      </c>
      <c r="E4" s="9">
        <v>87.5</v>
      </c>
      <c r="F4" s="8">
        <v>130</v>
      </c>
      <c r="G4" s="9">
        <v>181.25</v>
      </c>
      <c r="H4" s="8">
        <v>318.75</v>
      </c>
      <c r="I4" s="9">
        <v>416.25</v>
      </c>
      <c r="J4" s="8">
        <v>438.75</v>
      </c>
      <c r="K4" s="9">
        <v>511.25</v>
      </c>
      <c r="L4" s="8">
        <v>621.25</v>
      </c>
      <c r="M4" s="9">
        <v>750</v>
      </c>
      <c r="N4" s="8">
        <v>847.5</v>
      </c>
      <c r="O4" s="9">
        <v>876.25</v>
      </c>
      <c r="P4" s="8">
        <v>898.75</v>
      </c>
      <c r="Q4" s="7">
        <v>0.40954996744791666</v>
      </c>
      <c r="S4" t="s">
        <v>60</v>
      </c>
      <c r="T4" s="7">
        <v>0.32610541449652769</v>
      </c>
      <c r="U4" s="7">
        <v>0.32610541449652769</v>
      </c>
      <c r="V4" s="20"/>
    </row>
    <row r="5" spans="1:22" x14ac:dyDescent="0.4">
      <c r="A5" s="10" t="s">
        <v>84</v>
      </c>
      <c r="B5" s="8">
        <v>0</v>
      </c>
      <c r="C5" s="9">
        <v>0</v>
      </c>
      <c r="D5" s="8">
        <v>35</v>
      </c>
      <c r="E5" s="9">
        <v>62.5</v>
      </c>
      <c r="F5" s="8">
        <v>105</v>
      </c>
      <c r="G5" s="9">
        <v>150</v>
      </c>
      <c r="H5" s="8">
        <v>250</v>
      </c>
      <c r="I5" s="9">
        <v>420</v>
      </c>
      <c r="J5" s="8">
        <v>440</v>
      </c>
      <c r="K5" s="9">
        <v>460</v>
      </c>
      <c r="L5" s="8">
        <v>480</v>
      </c>
      <c r="M5" s="9">
        <v>500</v>
      </c>
      <c r="N5" s="8">
        <v>520</v>
      </c>
      <c r="O5" s="9">
        <v>540</v>
      </c>
      <c r="P5" s="8">
        <v>560</v>
      </c>
      <c r="Q5" s="7">
        <v>0.31623535156250004</v>
      </c>
      <c r="S5" t="s">
        <v>61</v>
      </c>
      <c r="T5" s="7">
        <v>0.10738525390625001</v>
      </c>
      <c r="U5" s="7">
        <v>0.10738525390625001</v>
      </c>
      <c r="V5" s="7">
        <v>0.61630126953124997</v>
      </c>
    </row>
    <row r="6" spans="1:22" x14ac:dyDescent="0.4">
      <c r="A6" s="10" t="s">
        <v>85</v>
      </c>
      <c r="B6" s="8">
        <v>9.1666666666666661</v>
      </c>
      <c r="C6" s="9">
        <v>10.833333333333334</v>
      </c>
      <c r="D6" s="8">
        <v>15</v>
      </c>
      <c r="E6" s="9">
        <v>37.5</v>
      </c>
      <c r="F6" s="8">
        <v>62.5</v>
      </c>
      <c r="G6" s="9">
        <v>72.5</v>
      </c>
      <c r="H6" s="8">
        <v>97.5</v>
      </c>
      <c r="I6" s="9">
        <v>162.5</v>
      </c>
      <c r="J6" s="8">
        <v>183.75</v>
      </c>
      <c r="K6" s="9">
        <v>215</v>
      </c>
      <c r="L6" s="8">
        <v>254.16666666666666</v>
      </c>
      <c r="M6" s="9">
        <v>306.66666666666663</v>
      </c>
      <c r="N6" s="8">
        <v>358.33333333333331</v>
      </c>
      <c r="O6" s="9">
        <v>358.33333333333331</v>
      </c>
      <c r="P6" s="8">
        <v>358.33333333333331</v>
      </c>
      <c r="Q6" s="7">
        <v>0.32610541449652769</v>
      </c>
    </row>
    <row r="7" spans="1:22" x14ac:dyDescent="0.4">
      <c r="A7" s="10" t="s">
        <v>90</v>
      </c>
      <c r="B7" s="8">
        <v>0</v>
      </c>
      <c r="C7" s="9">
        <v>0</v>
      </c>
      <c r="D7" s="8">
        <v>0</v>
      </c>
      <c r="E7" s="9">
        <v>120</v>
      </c>
      <c r="F7" s="8">
        <v>190</v>
      </c>
      <c r="G7" s="9">
        <v>220</v>
      </c>
      <c r="H7" s="8">
        <v>250</v>
      </c>
      <c r="I7" s="9">
        <v>280</v>
      </c>
      <c r="J7" s="8">
        <v>310</v>
      </c>
      <c r="K7" s="9">
        <v>400</v>
      </c>
      <c r="L7" s="8">
        <v>400</v>
      </c>
      <c r="M7" s="9">
        <v>480</v>
      </c>
      <c r="N7" s="8">
        <v>1100</v>
      </c>
      <c r="O7" s="9">
        <v>1100</v>
      </c>
      <c r="P7" s="8">
        <v>1100</v>
      </c>
      <c r="Q7" s="7">
        <v>0.10738525390625001</v>
      </c>
    </row>
    <row r="8" spans="1:22" x14ac:dyDescent="0.4">
      <c r="A8" s="11" t="s">
        <v>86</v>
      </c>
      <c r="B8" s="15">
        <v>0.57999999999999996</v>
      </c>
      <c r="C8" s="12">
        <v>0.52</v>
      </c>
      <c r="D8" s="15">
        <v>0.79</v>
      </c>
      <c r="E8" s="12">
        <v>0.88</v>
      </c>
      <c r="F8" s="18">
        <v>1.02</v>
      </c>
      <c r="G8" s="12">
        <v>1.04</v>
      </c>
      <c r="H8" s="15">
        <v>1.5</v>
      </c>
      <c r="I8" s="12">
        <v>1.53</v>
      </c>
      <c r="J8" s="15">
        <v>1.9</v>
      </c>
      <c r="K8" s="12">
        <v>2.14</v>
      </c>
      <c r="L8" s="15">
        <v>2.66</v>
      </c>
      <c r="M8" s="12">
        <v>3.08</v>
      </c>
      <c r="N8" s="15">
        <v>5.93</v>
      </c>
      <c r="O8" s="12">
        <v>6.03</v>
      </c>
      <c r="P8" s="15">
        <v>6.1</v>
      </c>
      <c r="Q8" s="7">
        <v>0.94141967773437507</v>
      </c>
    </row>
    <row r="9" spans="1:22" x14ac:dyDescent="0.4">
      <c r="A9" s="11" t="s">
        <v>87</v>
      </c>
      <c r="B9" s="15">
        <v>0.57999999999999996</v>
      </c>
      <c r="C9" s="12">
        <v>0.57999999999999996</v>
      </c>
      <c r="D9" s="15">
        <v>0.7</v>
      </c>
      <c r="E9" s="12">
        <v>0.79</v>
      </c>
      <c r="F9" s="15">
        <v>0.93</v>
      </c>
      <c r="G9" s="18">
        <v>1.17</v>
      </c>
      <c r="H9" s="15">
        <v>1.79</v>
      </c>
      <c r="I9" s="12">
        <v>2.46</v>
      </c>
      <c r="J9" s="15">
        <v>2.87</v>
      </c>
      <c r="K9" s="12">
        <v>3.21</v>
      </c>
      <c r="L9" s="15">
        <v>3.94</v>
      </c>
      <c r="M9" s="12">
        <v>5.05</v>
      </c>
      <c r="N9" s="15">
        <v>5.94</v>
      </c>
      <c r="O9" s="12">
        <v>6.2</v>
      </c>
      <c r="P9" s="15">
        <v>6.45</v>
      </c>
      <c r="Q9" s="7">
        <v>1.0261584472656249</v>
      </c>
    </row>
    <row r="10" spans="1:22" x14ac:dyDescent="0.4">
      <c r="A10" s="13" t="s">
        <v>88</v>
      </c>
      <c r="B10" s="16"/>
      <c r="C10" s="14"/>
      <c r="D10" s="16"/>
      <c r="E10" s="14"/>
      <c r="F10" s="16"/>
      <c r="G10" s="14"/>
      <c r="H10" s="16"/>
      <c r="I10" s="14"/>
      <c r="J10" s="16"/>
      <c r="K10" s="14"/>
      <c r="L10" s="16"/>
      <c r="M10" s="14"/>
      <c r="N10" s="16"/>
      <c r="O10" s="14"/>
      <c r="P10" s="16"/>
      <c r="Q10" s="20"/>
    </row>
    <row r="11" spans="1:22" x14ac:dyDescent="0.4">
      <c r="A11" s="13" t="s">
        <v>91</v>
      </c>
      <c r="B11" s="15">
        <v>0.09</v>
      </c>
      <c r="C11" s="12">
        <v>0.18</v>
      </c>
      <c r="D11" s="15">
        <v>0.26</v>
      </c>
      <c r="E11" s="12">
        <v>0.56000000000000005</v>
      </c>
      <c r="F11" s="15">
        <v>0.77</v>
      </c>
      <c r="G11" s="12">
        <v>0.91</v>
      </c>
      <c r="H11" s="18">
        <v>1.05</v>
      </c>
      <c r="I11" s="12">
        <v>1.19</v>
      </c>
      <c r="J11" s="15">
        <v>1.33</v>
      </c>
      <c r="K11" s="12">
        <v>2.11</v>
      </c>
      <c r="L11" s="15">
        <v>3.32</v>
      </c>
      <c r="M11" s="12">
        <v>4.67</v>
      </c>
      <c r="N11" s="15">
        <v>9.9499999999999993</v>
      </c>
      <c r="O11" s="12">
        <v>9.9499999999999993</v>
      </c>
      <c r="P11" s="15">
        <v>9.9499999999999993</v>
      </c>
      <c r="Q11" s="7">
        <v>0.61630126953124997</v>
      </c>
    </row>
    <row r="12" spans="1:22" x14ac:dyDescent="0.4">
      <c r="A12" s="10" t="s">
        <v>92</v>
      </c>
      <c r="B12" s="17">
        <v>0</v>
      </c>
      <c r="C12" s="17">
        <v>8.3333333333333329E-2</v>
      </c>
      <c r="D12" s="17">
        <v>0.20833333333333334</v>
      </c>
      <c r="E12" s="17">
        <v>0.29166666666666669</v>
      </c>
      <c r="F12" s="17">
        <v>0.43333333333333335</v>
      </c>
      <c r="G12" s="17">
        <v>0.60416666666666663</v>
      </c>
      <c r="H12" s="19">
        <v>1.0625</v>
      </c>
      <c r="I12" s="17">
        <v>1.3875</v>
      </c>
      <c r="J12" s="17">
        <v>1.4624999999999999</v>
      </c>
      <c r="K12" s="17">
        <v>1.7041666666666666</v>
      </c>
      <c r="L12" s="17">
        <v>2.0708333333333333</v>
      </c>
      <c r="M12" s="17">
        <v>2.5</v>
      </c>
      <c r="N12" s="17">
        <v>2.8250000000000002</v>
      </c>
      <c r="O12" s="17">
        <v>2.9208333333333334</v>
      </c>
      <c r="P12" s="17">
        <v>2.9958333333333331</v>
      </c>
    </row>
    <row r="13" spans="1:22" x14ac:dyDescent="0.4">
      <c r="A13" s="10" t="s">
        <v>93</v>
      </c>
      <c r="B13" s="17">
        <v>0</v>
      </c>
      <c r="C13" s="17">
        <v>0</v>
      </c>
      <c r="D13" s="17">
        <v>0.11666666666666667</v>
      </c>
      <c r="E13" s="17">
        <v>0.20833333333333334</v>
      </c>
      <c r="F13" s="17">
        <v>0.35</v>
      </c>
      <c r="G13" s="17">
        <v>0.5</v>
      </c>
      <c r="H13" s="17">
        <v>0.83333333333333337</v>
      </c>
      <c r="I13" s="19">
        <v>1.4</v>
      </c>
      <c r="J13" s="17">
        <v>1.4666666666666666</v>
      </c>
      <c r="K13" s="17">
        <v>1.5333333333333334</v>
      </c>
      <c r="L13" s="17">
        <v>1.6</v>
      </c>
      <c r="M13" s="17">
        <v>1.6666666666666667</v>
      </c>
      <c r="N13" s="17">
        <v>1.7333333333333334</v>
      </c>
      <c r="O13" s="17">
        <v>1.8</v>
      </c>
      <c r="P13" s="17">
        <v>1.8666666666666667</v>
      </c>
    </row>
    <row r="14" spans="1:22" x14ac:dyDescent="0.4">
      <c r="A14" s="10" t="s">
        <v>94</v>
      </c>
      <c r="B14" s="17">
        <v>6.1111111111111109E-2</v>
      </c>
      <c r="C14" s="17">
        <v>7.2222222222222229E-2</v>
      </c>
      <c r="D14" s="17">
        <v>0.1</v>
      </c>
      <c r="E14" s="17">
        <v>0.25</v>
      </c>
      <c r="F14" s="17">
        <v>0.41666666666666669</v>
      </c>
      <c r="G14" s="17">
        <v>0.48333333333333334</v>
      </c>
      <c r="H14" s="17">
        <v>0.65</v>
      </c>
      <c r="I14" s="19">
        <v>1.0833333333333333</v>
      </c>
      <c r="J14" s="17">
        <v>1.2250000000000001</v>
      </c>
      <c r="K14" s="17">
        <v>1.4333333333333333</v>
      </c>
      <c r="L14" s="17">
        <v>1.6944444444444444</v>
      </c>
      <c r="M14" s="17">
        <v>2.0444444444444443</v>
      </c>
      <c r="N14" s="17">
        <v>2.3888888888888888</v>
      </c>
      <c r="O14" s="17">
        <v>2.3888888888888888</v>
      </c>
      <c r="P14" s="17">
        <v>2.3888888888888888</v>
      </c>
    </row>
    <row r="15" spans="1:22" x14ac:dyDescent="0.4">
      <c r="A15" s="10" t="s">
        <v>95</v>
      </c>
      <c r="B15" s="17">
        <v>0</v>
      </c>
      <c r="C15" s="17">
        <v>0</v>
      </c>
      <c r="D15" s="17">
        <v>0</v>
      </c>
      <c r="E15" s="17">
        <v>0.12</v>
      </c>
      <c r="F15" s="17">
        <v>0.19</v>
      </c>
      <c r="G15" s="17">
        <v>0.22</v>
      </c>
      <c r="H15" s="17">
        <v>0.25</v>
      </c>
      <c r="I15" s="17">
        <v>0.28000000000000003</v>
      </c>
      <c r="J15" s="17">
        <v>0.31</v>
      </c>
      <c r="K15" s="17">
        <v>0.4</v>
      </c>
      <c r="L15" s="17">
        <v>0.4</v>
      </c>
      <c r="M15" s="17">
        <v>0.48</v>
      </c>
      <c r="N15" s="19">
        <v>1.1000000000000001</v>
      </c>
      <c r="O15" s="17">
        <v>1.1000000000000001</v>
      </c>
      <c r="P15" s="17">
        <v>1.1000000000000001</v>
      </c>
    </row>
    <row r="16" spans="1:22" x14ac:dyDescent="0.4">
      <c r="A16" s="41" t="s">
        <v>99</v>
      </c>
      <c r="B16" s="42">
        <v>0</v>
      </c>
      <c r="C16" s="42">
        <v>25</v>
      </c>
      <c r="D16" s="42">
        <v>62.5</v>
      </c>
      <c r="E16" s="42">
        <v>87.5</v>
      </c>
      <c r="F16" s="42">
        <v>130</v>
      </c>
      <c r="G16" s="42">
        <v>181.25</v>
      </c>
      <c r="H16" s="42">
        <v>268.75</v>
      </c>
      <c r="I16" s="42">
        <v>356.25</v>
      </c>
      <c r="J16" s="42">
        <v>368.75</v>
      </c>
      <c r="K16" s="42">
        <v>431.25</v>
      </c>
      <c r="L16" s="42">
        <v>531.25</v>
      </c>
      <c r="M16" s="42">
        <v>650</v>
      </c>
      <c r="N16" s="42">
        <v>737.5</v>
      </c>
      <c r="O16" s="42">
        <v>756.25</v>
      </c>
      <c r="P16" s="42">
        <v>768.75</v>
      </c>
      <c r="Q16" s="2">
        <v>0.37825520833333331</v>
      </c>
    </row>
    <row r="17" spans="1:17" x14ac:dyDescent="0.4">
      <c r="A17" s="41" t="s">
        <v>100</v>
      </c>
      <c r="B17" s="42">
        <v>0</v>
      </c>
      <c r="C17" s="42">
        <v>0</v>
      </c>
      <c r="D17" s="42">
        <v>35</v>
      </c>
      <c r="E17" s="42">
        <v>62.5</v>
      </c>
      <c r="F17" s="42">
        <v>105</v>
      </c>
      <c r="G17" s="42">
        <v>150</v>
      </c>
      <c r="H17" s="42">
        <v>225</v>
      </c>
      <c r="I17" s="42">
        <v>300</v>
      </c>
      <c r="J17" s="42">
        <v>300</v>
      </c>
      <c r="K17" s="42">
        <v>300</v>
      </c>
      <c r="L17" s="42">
        <v>300</v>
      </c>
      <c r="M17" s="42">
        <v>300</v>
      </c>
      <c r="N17" s="42">
        <v>300</v>
      </c>
      <c r="O17" s="42">
        <v>300</v>
      </c>
      <c r="P17" s="42">
        <v>300</v>
      </c>
      <c r="Q17" s="2">
        <v>0.26731770833333335</v>
      </c>
    </row>
    <row r="25" spans="1:17" x14ac:dyDescent="0.4"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4">
      <c r="H26" s="6"/>
      <c r="I26" s="6"/>
      <c r="J26" s="6"/>
      <c r="K26" s="6"/>
      <c r="L26" s="6"/>
      <c r="M26" s="6"/>
      <c r="N26" s="6"/>
      <c r="O26" s="6"/>
      <c r="P26" s="6"/>
      <c r="Q26" s="6"/>
    </row>
    <row r="28" spans="1:17" x14ac:dyDescent="0.4"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4">
      <c r="H29" s="6"/>
      <c r="I29" s="6"/>
      <c r="J29" s="6"/>
      <c r="K29" s="6"/>
      <c r="L29" s="6"/>
      <c r="M29" s="6"/>
      <c r="N29" s="6"/>
      <c r="O29" s="6"/>
      <c r="P29" s="6"/>
      <c r="Q29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914B-6E65-42DA-987E-1B04ECF0C88F}">
  <dimension ref="A1:R24"/>
  <sheetViews>
    <sheetView workbookViewId="0">
      <selection activeCell="S16" sqref="S16"/>
    </sheetView>
  </sheetViews>
  <sheetFormatPr defaultRowHeight="13.9" x14ac:dyDescent="0.4"/>
  <cols>
    <col min="1" max="1" width="10.86328125" style="86" bestFit="1" customWidth="1"/>
    <col min="2" max="2" width="7.59765625" style="86" bestFit="1" customWidth="1"/>
    <col min="3" max="6" width="7.06640625" style="86" bestFit="1" customWidth="1"/>
    <col min="7" max="13" width="6.06640625" style="86" bestFit="1" customWidth="1"/>
    <col min="14" max="14" width="6.06640625" style="86" customWidth="1"/>
    <col min="15" max="16" width="6.06640625" style="86" bestFit="1" customWidth="1"/>
    <col min="17" max="17" width="8.3984375" style="86" bestFit="1" customWidth="1"/>
    <col min="18" max="18" width="9.19921875" style="86" bestFit="1" customWidth="1"/>
    <col min="19" max="19" width="9.06640625" style="86"/>
    <col min="20" max="21" width="7.19921875" style="86" bestFit="1" customWidth="1"/>
    <col min="22" max="22" width="13.3984375" style="86" customWidth="1"/>
    <col min="23" max="16384" width="9.06640625" style="86"/>
  </cols>
  <sheetData>
    <row r="1" spans="1:18" ht="15" thickTop="1" thickBot="1" x14ac:dyDescent="0.45">
      <c r="A1" s="133" t="s">
        <v>59</v>
      </c>
      <c r="B1" s="83" t="s">
        <v>9</v>
      </c>
      <c r="C1" s="84" t="s">
        <v>26</v>
      </c>
      <c r="D1" s="84" t="s">
        <v>28</v>
      </c>
      <c r="E1" s="84" t="s">
        <v>12</v>
      </c>
      <c r="F1" s="84" t="s">
        <v>33</v>
      </c>
      <c r="G1" s="84" t="s">
        <v>36</v>
      </c>
      <c r="H1" s="84" t="s">
        <v>39</v>
      </c>
      <c r="I1" s="84" t="s">
        <v>42</v>
      </c>
      <c r="J1" s="84" t="s">
        <v>45</v>
      </c>
      <c r="K1" s="84" t="s">
        <v>48</v>
      </c>
      <c r="L1" s="84" t="s">
        <v>51</v>
      </c>
      <c r="M1" s="84" t="s">
        <v>53</v>
      </c>
      <c r="N1" s="84" t="s">
        <v>2</v>
      </c>
      <c r="O1" s="84" t="s">
        <v>1</v>
      </c>
      <c r="P1" s="84" t="s">
        <v>0</v>
      </c>
      <c r="Q1" s="134" t="s">
        <v>171</v>
      </c>
    </row>
    <row r="2" spans="1:18" ht="14.25" x14ac:dyDescent="0.4">
      <c r="A2" s="134" t="s">
        <v>153</v>
      </c>
      <c r="B2" s="135">
        <v>0.125</v>
      </c>
      <c r="C2" s="135">
        <v>0.1875</v>
      </c>
      <c r="D2" s="135">
        <v>0.1875</v>
      </c>
      <c r="E2" s="135">
        <v>0.15625</v>
      </c>
      <c r="F2" s="135">
        <v>0.1171875</v>
      </c>
      <c r="G2" s="135">
        <v>8.203125E-2</v>
      </c>
      <c r="H2" s="135">
        <v>5.46875E-2</v>
      </c>
      <c r="I2" s="135">
        <v>3.515625E-2</v>
      </c>
      <c r="J2" s="135">
        <v>2.197265625E-2</v>
      </c>
      <c r="K2" s="135">
        <v>1.3427734375E-2</v>
      </c>
      <c r="L2" s="135">
        <v>8.056640625E-3</v>
      </c>
      <c r="M2" s="135">
        <v>4.7607421875E-3</v>
      </c>
      <c r="N2" s="135">
        <v>4.7607421875E-3</v>
      </c>
      <c r="O2" s="135">
        <v>1.46484375E-3</v>
      </c>
      <c r="P2" s="135">
        <v>2.44140625E-4</v>
      </c>
      <c r="Q2" s="136">
        <f>SUM(B2:P2)</f>
        <v>1</v>
      </c>
    </row>
    <row r="3" spans="1:18" ht="14.25" x14ac:dyDescent="0.4">
      <c r="A3" s="134" t="s">
        <v>172</v>
      </c>
      <c r="B3" s="134">
        <v>0</v>
      </c>
      <c r="C3" s="85">
        <v>25</v>
      </c>
      <c r="D3" s="134">
        <v>62.5</v>
      </c>
      <c r="E3" s="85">
        <v>87.5</v>
      </c>
      <c r="F3" s="134">
        <v>130</v>
      </c>
      <c r="G3" s="85">
        <v>181.25</v>
      </c>
      <c r="H3" s="134">
        <v>318.75</v>
      </c>
      <c r="I3" s="85">
        <v>416.25</v>
      </c>
      <c r="J3" s="134">
        <v>438.75</v>
      </c>
      <c r="K3" s="85">
        <v>511.25</v>
      </c>
      <c r="L3" s="134">
        <v>621.25</v>
      </c>
      <c r="M3" s="85">
        <v>750</v>
      </c>
      <c r="N3" s="134">
        <v>847.5</v>
      </c>
      <c r="O3" s="85">
        <v>876.25</v>
      </c>
      <c r="P3" s="134">
        <v>898.75</v>
      </c>
      <c r="Q3" s="137">
        <f>SUMPRODUCT(B2:P2,B3:P3)</f>
        <v>122.864990234375</v>
      </c>
    </row>
    <row r="4" spans="1:18" ht="14.25" x14ac:dyDescent="0.4">
      <c r="A4" s="138" t="s">
        <v>173</v>
      </c>
      <c r="B4" s="139">
        <f>B3/300</f>
        <v>0</v>
      </c>
      <c r="C4" s="147">
        <f t="shared" ref="C4:P4" si="0">C3/300</f>
        <v>8.3333333333333329E-2</v>
      </c>
      <c r="D4" s="139">
        <f t="shared" si="0"/>
        <v>0.20833333333333334</v>
      </c>
      <c r="E4" s="147">
        <f t="shared" si="0"/>
        <v>0.29166666666666669</v>
      </c>
      <c r="F4" s="139">
        <f t="shared" si="0"/>
        <v>0.43333333333333335</v>
      </c>
      <c r="G4" s="147">
        <f t="shared" si="0"/>
        <v>0.60416666666666663</v>
      </c>
      <c r="H4" s="139">
        <f t="shared" si="0"/>
        <v>1.0625</v>
      </c>
      <c r="I4" s="147">
        <f t="shared" si="0"/>
        <v>1.3875</v>
      </c>
      <c r="J4" s="139">
        <f t="shared" si="0"/>
        <v>1.4624999999999999</v>
      </c>
      <c r="K4" s="147">
        <f t="shared" si="0"/>
        <v>1.7041666666666666</v>
      </c>
      <c r="L4" s="139">
        <f t="shared" si="0"/>
        <v>2.0708333333333333</v>
      </c>
      <c r="M4" s="147">
        <f t="shared" si="0"/>
        <v>2.5</v>
      </c>
      <c r="N4" s="139">
        <f t="shared" si="0"/>
        <v>2.8250000000000002</v>
      </c>
      <c r="O4" s="147">
        <f t="shared" si="0"/>
        <v>2.9208333333333334</v>
      </c>
      <c r="P4" s="139">
        <f t="shared" si="0"/>
        <v>2.9958333333333331</v>
      </c>
      <c r="Q4" s="140">
        <f>Q3/300</f>
        <v>0.40954996744791666</v>
      </c>
    </row>
    <row r="5" spans="1:18" ht="14.25" x14ac:dyDescent="0.4">
      <c r="A5" s="138" t="s">
        <v>174</v>
      </c>
      <c r="B5" s="139">
        <v>0.57999999999999996</v>
      </c>
      <c r="C5" s="147">
        <v>0.52</v>
      </c>
      <c r="D5" s="139">
        <v>0.79</v>
      </c>
      <c r="E5" s="147">
        <v>0.88</v>
      </c>
      <c r="F5" s="139">
        <v>1.02</v>
      </c>
      <c r="G5" s="147">
        <v>1.04</v>
      </c>
      <c r="H5" s="139">
        <v>1.5</v>
      </c>
      <c r="I5" s="147">
        <v>1.53</v>
      </c>
      <c r="J5" s="139">
        <v>1.9</v>
      </c>
      <c r="K5" s="147">
        <v>2.14</v>
      </c>
      <c r="L5" s="139">
        <v>2.66</v>
      </c>
      <c r="M5" s="147">
        <v>3.08</v>
      </c>
      <c r="N5" s="139">
        <v>5.93</v>
      </c>
      <c r="O5" s="147">
        <v>6.03</v>
      </c>
      <c r="P5" s="139">
        <v>6.1</v>
      </c>
      <c r="Q5" s="135">
        <f>SUMPRODUCT(B2:P2,B5:P5)</f>
        <v>0.94141967773437507</v>
      </c>
      <c r="R5" s="86">
        <f>Q5*198*2</f>
        <v>372.80219238281251</v>
      </c>
    </row>
    <row r="6" spans="1:18" ht="14.25" x14ac:dyDescent="0.4">
      <c r="A6" s="134" t="s">
        <v>175</v>
      </c>
      <c r="B6" s="141">
        <v>0</v>
      </c>
      <c r="C6" s="141">
        <v>25</v>
      </c>
      <c r="D6" s="141">
        <v>62.5</v>
      </c>
      <c r="E6" s="141">
        <v>87.5</v>
      </c>
      <c r="F6" s="141">
        <v>130</v>
      </c>
      <c r="G6" s="141">
        <v>181.25</v>
      </c>
      <c r="H6" s="141">
        <v>268.75</v>
      </c>
      <c r="I6" s="141">
        <v>356.25</v>
      </c>
      <c r="J6" s="141">
        <v>368.75</v>
      </c>
      <c r="K6" s="141">
        <v>431.25</v>
      </c>
      <c r="L6" s="141">
        <v>531.25</v>
      </c>
      <c r="M6" s="141">
        <v>650</v>
      </c>
      <c r="N6" s="141">
        <v>737.5</v>
      </c>
      <c r="O6" s="141">
        <v>756.25</v>
      </c>
      <c r="P6" s="141">
        <v>768.75</v>
      </c>
      <c r="Q6" s="137">
        <f>SUMPRODUCT(A2:O2,A6:O6)</f>
        <v>113.28887939453125</v>
      </c>
      <c r="R6" s="140">
        <f>Q6/300</f>
        <v>0.37762959798177081</v>
      </c>
    </row>
    <row r="7" spans="1:18" ht="14.25" thickBot="1" x14ac:dyDescent="0.45"/>
    <row r="8" spans="1:18" ht="15" thickTop="1" thickBot="1" x14ac:dyDescent="0.45">
      <c r="A8" s="142" t="s">
        <v>79</v>
      </c>
      <c r="B8" s="83" t="s">
        <v>9</v>
      </c>
      <c r="C8" s="84" t="s">
        <v>26</v>
      </c>
      <c r="D8" s="84" t="s">
        <v>28</v>
      </c>
      <c r="E8" s="84" t="s">
        <v>12</v>
      </c>
      <c r="F8" s="84" t="s">
        <v>33</v>
      </c>
      <c r="G8" s="84" t="s">
        <v>36</v>
      </c>
      <c r="H8" s="84" t="s">
        <v>39</v>
      </c>
      <c r="I8" s="84" t="s">
        <v>42</v>
      </c>
      <c r="J8" s="84" t="s">
        <v>45</v>
      </c>
      <c r="K8" s="84" t="s">
        <v>48</v>
      </c>
      <c r="L8" s="84" t="s">
        <v>51</v>
      </c>
      <c r="M8" s="84" t="s">
        <v>53</v>
      </c>
      <c r="N8" s="84" t="s">
        <v>2</v>
      </c>
      <c r="O8" s="84" t="s">
        <v>1</v>
      </c>
      <c r="P8" s="84" t="s">
        <v>0</v>
      </c>
      <c r="Q8" s="87" t="s">
        <v>171</v>
      </c>
    </row>
    <row r="9" spans="1:18" ht="14.25" x14ac:dyDescent="0.4">
      <c r="A9" s="87" t="s">
        <v>153</v>
      </c>
      <c r="B9" s="135">
        <v>0.125</v>
      </c>
      <c r="C9" s="135">
        <v>0.1875</v>
      </c>
      <c r="D9" s="135">
        <v>0.1875</v>
      </c>
      <c r="E9" s="135">
        <v>0.15625</v>
      </c>
      <c r="F9" s="135">
        <v>0.1171875</v>
      </c>
      <c r="G9" s="135">
        <v>8.203125E-2</v>
      </c>
      <c r="H9" s="135">
        <v>5.46875E-2</v>
      </c>
      <c r="I9" s="135">
        <v>3.515625E-2</v>
      </c>
      <c r="J9" s="135">
        <v>2.197265625E-2</v>
      </c>
      <c r="K9" s="135">
        <v>1.3427734375E-2</v>
      </c>
      <c r="L9" s="135">
        <v>8.056640625E-3</v>
      </c>
      <c r="M9" s="135">
        <v>4.7607421875E-3</v>
      </c>
      <c r="N9" s="135">
        <v>4.7607421875E-3</v>
      </c>
      <c r="O9" s="135">
        <v>1.46484375E-3</v>
      </c>
      <c r="P9" s="135">
        <v>2.44140625E-4</v>
      </c>
      <c r="Q9" s="143">
        <f>SUM(B9:P9)</f>
        <v>1</v>
      </c>
    </row>
    <row r="10" spans="1:18" ht="14.25" x14ac:dyDescent="0.4">
      <c r="A10" s="87" t="s">
        <v>172</v>
      </c>
      <c r="B10" s="87">
        <v>0</v>
      </c>
      <c r="C10" s="149">
        <v>0</v>
      </c>
      <c r="D10" s="87">
        <v>35</v>
      </c>
      <c r="E10" s="149">
        <v>62.5</v>
      </c>
      <c r="F10" s="87">
        <v>105</v>
      </c>
      <c r="G10" s="149">
        <v>150</v>
      </c>
      <c r="H10" s="87">
        <v>250</v>
      </c>
      <c r="I10" s="149">
        <v>420</v>
      </c>
      <c r="J10" s="87">
        <v>440</v>
      </c>
      <c r="K10" s="149">
        <v>460</v>
      </c>
      <c r="L10" s="87">
        <v>480</v>
      </c>
      <c r="M10" s="149">
        <v>500</v>
      </c>
      <c r="N10" s="87">
        <v>520</v>
      </c>
      <c r="O10" s="149">
        <v>540</v>
      </c>
      <c r="P10" s="87">
        <v>560</v>
      </c>
      <c r="Q10" s="138">
        <f>SUMPRODUCT(B9:P9,B10:P10)</f>
        <v>94.87060546875</v>
      </c>
    </row>
    <row r="11" spans="1:18" ht="14.25" x14ac:dyDescent="0.4">
      <c r="A11" s="138" t="s">
        <v>173</v>
      </c>
      <c r="B11" s="144">
        <f>B10/300</f>
        <v>0</v>
      </c>
      <c r="C11" s="151">
        <f t="shared" ref="C11:P11" si="1">C10/300</f>
        <v>0</v>
      </c>
      <c r="D11" s="144">
        <f t="shared" si="1"/>
        <v>0.11666666666666667</v>
      </c>
      <c r="E11" s="151">
        <f t="shared" si="1"/>
        <v>0.20833333333333334</v>
      </c>
      <c r="F11" s="144">
        <f t="shared" si="1"/>
        <v>0.35</v>
      </c>
      <c r="G11" s="151">
        <f t="shared" si="1"/>
        <v>0.5</v>
      </c>
      <c r="H11" s="144">
        <f t="shared" si="1"/>
        <v>0.83333333333333337</v>
      </c>
      <c r="I11" s="151">
        <f t="shared" si="1"/>
        <v>1.4</v>
      </c>
      <c r="J11" s="144">
        <f t="shared" si="1"/>
        <v>1.4666666666666666</v>
      </c>
      <c r="K11" s="151">
        <f t="shared" si="1"/>
        <v>1.5333333333333334</v>
      </c>
      <c r="L11" s="144">
        <f t="shared" si="1"/>
        <v>1.6</v>
      </c>
      <c r="M11" s="151">
        <f t="shared" si="1"/>
        <v>1.6666666666666667</v>
      </c>
      <c r="N11" s="144">
        <f t="shared" si="1"/>
        <v>1.7333333333333334</v>
      </c>
      <c r="O11" s="151">
        <f t="shared" si="1"/>
        <v>1.8</v>
      </c>
      <c r="P11" s="144">
        <f t="shared" si="1"/>
        <v>1.8666666666666667</v>
      </c>
      <c r="Q11" s="140">
        <f>SUMPRODUCT(B9:P9,B11:P11)</f>
        <v>0.31623535156249999</v>
      </c>
    </row>
    <row r="12" spans="1:18" ht="14.25" x14ac:dyDescent="0.4">
      <c r="A12" s="138" t="s">
        <v>174</v>
      </c>
      <c r="B12" s="144">
        <v>0.57999999999999996</v>
      </c>
      <c r="C12" s="151">
        <v>0.57999999999999996</v>
      </c>
      <c r="D12" s="144">
        <v>0.7</v>
      </c>
      <c r="E12" s="151">
        <v>0.79</v>
      </c>
      <c r="F12" s="144">
        <v>0.93</v>
      </c>
      <c r="G12" s="151">
        <v>1.17</v>
      </c>
      <c r="H12" s="144">
        <v>1.79</v>
      </c>
      <c r="I12" s="151">
        <v>2.46</v>
      </c>
      <c r="J12" s="144">
        <v>2.87</v>
      </c>
      <c r="K12" s="151">
        <v>3.21</v>
      </c>
      <c r="L12" s="144">
        <v>3.94</v>
      </c>
      <c r="M12" s="151">
        <v>5.05</v>
      </c>
      <c r="N12" s="144">
        <v>5.94</v>
      </c>
      <c r="O12" s="151">
        <v>6.2</v>
      </c>
      <c r="P12" s="144">
        <v>6.45</v>
      </c>
      <c r="Q12" s="140">
        <f>SUMPRODUCT(B9:P9,B12:P12)</f>
        <v>1.0261584472656249</v>
      </c>
      <c r="R12" s="86">
        <f>Q12*2*198</f>
        <v>406.35874511718748</v>
      </c>
    </row>
    <row r="13" spans="1:18" ht="14.25" x14ac:dyDescent="0.4">
      <c r="A13" s="87" t="s">
        <v>175</v>
      </c>
      <c r="B13" s="141">
        <v>0</v>
      </c>
      <c r="C13" s="141">
        <v>0</v>
      </c>
      <c r="D13" s="141">
        <v>35</v>
      </c>
      <c r="E13" s="141">
        <v>62.5</v>
      </c>
      <c r="F13" s="141">
        <v>105</v>
      </c>
      <c r="G13" s="141">
        <v>150</v>
      </c>
      <c r="H13" s="141">
        <v>225</v>
      </c>
      <c r="I13" s="141">
        <v>300</v>
      </c>
      <c r="J13" s="141">
        <v>300</v>
      </c>
      <c r="K13" s="141">
        <v>300</v>
      </c>
      <c r="L13" s="141">
        <v>300</v>
      </c>
      <c r="M13" s="141">
        <v>300</v>
      </c>
      <c r="N13" s="141">
        <v>300</v>
      </c>
      <c r="O13" s="141">
        <v>300</v>
      </c>
      <c r="P13" s="141">
        <v>300</v>
      </c>
      <c r="Q13" s="137">
        <f>SUMPRODUCT(B9:P9,B13:P13)</f>
        <v>80.1953125</v>
      </c>
      <c r="R13" s="140">
        <f>Q13/300</f>
        <v>0.26731770833333335</v>
      </c>
    </row>
    <row r="14" spans="1:18" ht="14.25" thickBot="1" x14ac:dyDescent="0.45"/>
    <row r="15" spans="1:18" ht="15" thickTop="1" thickBot="1" x14ac:dyDescent="0.45">
      <c r="A15" s="145" t="s">
        <v>155</v>
      </c>
      <c r="B15" s="83" t="s">
        <v>9</v>
      </c>
      <c r="C15" s="84" t="s">
        <v>26</v>
      </c>
      <c r="D15" s="84" t="s">
        <v>28</v>
      </c>
      <c r="E15" s="84" t="s">
        <v>12</v>
      </c>
      <c r="F15" s="84" t="s">
        <v>33</v>
      </c>
      <c r="G15" s="84" t="s">
        <v>36</v>
      </c>
      <c r="H15" s="84" t="s">
        <v>39</v>
      </c>
      <c r="I15" s="84" t="s">
        <v>42</v>
      </c>
      <c r="J15" s="84" t="s">
        <v>45</v>
      </c>
      <c r="K15" s="84" t="s">
        <v>48</v>
      </c>
      <c r="L15" s="84" t="s">
        <v>51</v>
      </c>
      <c r="M15" s="84" t="s">
        <v>53</v>
      </c>
      <c r="N15" s="84" t="s">
        <v>2</v>
      </c>
      <c r="O15" s="84" t="s">
        <v>1</v>
      </c>
      <c r="P15" s="84" t="s">
        <v>0</v>
      </c>
      <c r="Q15" s="85" t="s">
        <v>171</v>
      </c>
    </row>
    <row r="16" spans="1:18" ht="14.25" x14ac:dyDescent="0.4">
      <c r="A16" s="85" t="s">
        <v>153</v>
      </c>
      <c r="B16" s="135">
        <v>0.125</v>
      </c>
      <c r="C16" s="135">
        <v>0.1875</v>
      </c>
      <c r="D16" s="135">
        <v>0.1875</v>
      </c>
      <c r="E16" s="135">
        <v>0.15625</v>
      </c>
      <c r="F16" s="135">
        <v>0.1171875</v>
      </c>
      <c r="G16" s="135">
        <v>8.203125E-2</v>
      </c>
      <c r="H16" s="135">
        <v>5.46875E-2</v>
      </c>
      <c r="I16" s="135">
        <v>3.515625E-2</v>
      </c>
      <c r="J16" s="135">
        <v>2.197265625E-2</v>
      </c>
      <c r="K16" s="135">
        <v>1.3427734375E-2</v>
      </c>
      <c r="L16" s="135">
        <v>8.056640625E-3</v>
      </c>
      <c r="M16" s="135">
        <v>4.7607421875E-3</v>
      </c>
      <c r="N16" s="135">
        <v>4.7607421875E-3</v>
      </c>
      <c r="O16" s="135">
        <v>1.46484375E-3</v>
      </c>
      <c r="P16" s="135">
        <v>2.44140625E-4</v>
      </c>
      <c r="Q16" s="146">
        <f>SUM(B16:P16)</f>
        <v>1</v>
      </c>
    </row>
    <row r="17" spans="1:18" ht="14.25" x14ac:dyDescent="0.4">
      <c r="A17" s="138" t="s">
        <v>172</v>
      </c>
      <c r="B17" s="85">
        <v>9.1666666666666661</v>
      </c>
      <c r="C17" s="134">
        <v>10.833333333333334</v>
      </c>
      <c r="D17" s="85">
        <v>15</v>
      </c>
      <c r="E17" s="134">
        <v>37.5</v>
      </c>
      <c r="F17" s="85">
        <v>62.5</v>
      </c>
      <c r="G17" s="134">
        <v>72.5</v>
      </c>
      <c r="H17" s="85">
        <v>97.5</v>
      </c>
      <c r="I17" s="134">
        <v>162.5</v>
      </c>
      <c r="J17" s="85">
        <v>183.75</v>
      </c>
      <c r="K17" s="134">
        <v>215</v>
      </c>
      <c r="L17" s="85">
        <v>254.16666666666666</v>
      </c>
      <c r="M17" s="134">
        <v>306.66666666666663</v>
      </c>
      <c r="N17" s="85">
        <v>358.33333333333331</v>
      </c>
      <c r="O17" s="134">
        <v>358.33333333333331</v>
      </c>
      <c r="P17" s="85">
        <v>358.33333333333331</v>
      </c>
      <c r="Q17" s="85">
        <f>SUMPRODUCT(B16:P16,B17:P17)</f>
        <v>48.915812174479164</v>
      </c>
    </row>
    <row r="18" spans="1:18" ht="14.25" x14ac:dyDescent="0.4">
      <c r="A18" s="138" t="s">
        <v>173</v>
      </c>
      <c r="B18" s="147">
        <f>B17/150</f>
        <v>6.1111111111111109E-2</v>
      </c>
      <c r="C18" s="139">
        <f t="shared" ref="C18:P18" si="2">C17/150</f>
        <v>7.2222222222222229E-2</v>
      </c>
      <c r="D18" s="147">
        <f t="shared" si="2"/>
        <v>0.1</v>
      </c>
      <c r="E18" s="139">
        <f t="shared" si="2"/>
        <v>0.25</v>
      </c>
      <c r="F18" s="147">
        <f t="shared" si="2"/>
        <v>0.41666666666666669</v>
      </c>
      <c r="G18" s="139">
        <f t="shared" si="2"/>
        <v>0.48333333333333334</v>
      </c>
      <c r="H18" s="147">
        <f t="shared" si="2"/>
        <v>0.65</v>
      </c>
      <c r="I18" s="139">
        <f t="shared" si="2"/>
        <v>1.0833333333333333</v>
      </c>
      <c r="J18" s="147">
        <f t="shared" si="2"/>
        <v>1.2250000000000001</v>
      </c>
      <c r="K18" s="139">
        <f t="shared" si="2"/>
        <v>1.4333333333333333</v>
      </c>
      <c r="L18" s="147">
        <f t="shared" si="2"/>
        <v>1.6944444444444444</v>
      </c>
      <c r="M18" s="139">
        <f t="shared" si="2"/>
        <v>2.0444444444444443</v>
      </c>
      <c r="N18" s="147">
        <f t="shared" si="2"/>
        <v>2.3888888888888888</v>
      </c>
      <c r="O18" s="139">
        <f t="shared" si="2"/>
        <v>2.3888888888888888</v>
      </c>
      <c r="P18" s="147">
        <f t="shared" si="2"/>
        <v>2.3888888888888888</v>
      </c>
      <c r="Q18" s="140">
        <f>SUMPRODUCT(B16:P16,B17:P17)/150</f>
        <v>0.32610541449652775</v>
      </c>
    </row>
    <row r="19" spans="1:18" ht="14.25" thickBot="1" x14ac:dyDescent="0.45"/>
    <row r="20" spans="1:18" ht="15" thickTop="1" thickBot="1" x14ac:dyDescent="0.45">
      <c r="A20" s="148" t="s">
        <v>157</v>
      </c>
      <c r="B20" s="83" t="s">
        <v>9</v>
      </c>
      <c r="C20" s="84" t="s">
        <v>26</v>
      </c>
      <c r="D20" s="84" t="s">
        <v>28</v>
      </c>
      <c r="E20" s="84" t="s">
        <v>12</v>
      </c>
      <c r="F20" s="84" t="s">
        <v>33</v>
      </c>
      <c r="G20" s="84" t="s">
        <v>36</v>
      </c>
      <c r="H20" s="84" t="s">
        <v>39</v>
      </c>
      <c r="I20" s="84" t="s">
        <v>42</v>
      </c>
      <c r="J20" s="84" t="s">
        <v>45</v>
      </c>
      <c r="K20" s="84" t="s">
        <v>48</v>
      </c>
      <c r="L20" s="84" t="s">
        <v>51</v>
      </c>
      <c r="M20" s="84" t="s">
        <v>53</v>
      </c>
      <c r="N20" s="84" t="s">
        <v>2</v>
      </c>
      <c r="O20" s="84" t="s">
        <v>1</v>
      </c>
      <c r="P20" s="84" t="s">
        <v>0</v>
      </c>
      <c r="Q20" s="149" t="s">
        <v>171</v>
      </c>
    </row>
    <row r="21" spans="1:18" ht="14.25" x14ac:dyDescent="0.4">
      <c r="A21" s="149" t="s">
        <v>153</v>
      </c>
      <c r="B21" s="135">
        <v>0.125</v>
      </c>
      <c r="C21" s="135">
        <v>0.1875</v>
      </c>
      <c r="D21" s="135">
        <v>0.1875</v>
      </c>
      <c r="E21" s="135">
        <v>0.15625</v>
      </c>
      <c r="F21" s="135">
        <v>0.1171875</v>
      </c>
      <c r="G21" s="135">
        <v>8.203125E-2</v>
      </c>
      <c r="H21" s="135">
        <v>5.46875E-2</v>
      </c>
      <c r="I21" s="135">
        <v>3.515625E-2</v>
      </c>
      <c r="J21" s="135">
        <v>2.197265625E-2</v>
      </c>
      <c r="K21" s="135">
        <v>1.3427734375E-2</v>
      </c>
      <c r="L21" s="135">
        <v>8.056640625E-3</v>
      </c>
      <c r="M21" s="135">
        <v>4.7607421875E-3</v>
      </c>
      <c r="N21" s="135">
        <v>4.7607421875E-3</v>
      </c>
      <c r="O21" s="135">
        <v>1.46484375E-3</v>
      </c>
      <c r="P21" s="135">
        <v>2.44140625E-4</v>
      </c>
      <c r="Q21" s="150">
        <f>SUM(B21:P21)</f>
        <v>1</v>
      </c>
    </row>
    <row r="22" spans="1:18" ht="14.25" x14ac:dyDescent="0.4">
      <c r="A22" s="149" t="s">
        <v>172</v>
      </c>
      <c r="B22" s="149">
        <v>0</v>
      </c>
      <c r="C22" s="87">
        <v>0</v>
      </c>
      <c r="D22" s="149">
        <v>0</v>
      </c>
      <c r="E22" s="87">
        <v>120</v>
      </c>
      <c r="F22" s="149">
        <v>190</v>
      </c>
      <c r="G22" s="87">
        <v>220</v>
      </c>
      <c r="H22" s="149">
        <v>250</v>
      </c>
      <c r="I22" s="87">
        <v>280</v>
      </c>
      <c r="J22" s="149">
        <v>310</v>
      </c>
      <c r="K22" s="87">
        <v>400</v>
      </c>
      <c r="L22" s="149">
        <v>400</v>
      </c>
      <c r="M22" s="87">
        <v>480</v>
      </c>
      <c r="N22" s="149">
        <v>1100</v>
      </c>
      <c r="O22" s="87">
        <v>1100</v>
      </c>
      <c r="P22" s="149">
        <v>1100</v>
      </c>
      <c r="Q22" s="137">
        <f>SUMPRODUCT(B21:P21,B22:P22)</f>
        <v>107.38525390625</v>
      </c>
    </row>
    <row r="23" spans="1:18" ht="14.25" x14ac:dyDescent="0.4">
      <c r="A23" s="138" t="s">
        <v>173</v>
      </c>
      <c r="B23" s="151">
        <f>B22/1000</f>
        <v>0</v>
      </c>
      <c r="C23" s="144">
        <f t="shared" ref="C23:P23" si="3">C22/1000</f>
        <v>0</v>
      </c>
      <c r="D23" s="151">
        <f t="shared" si="3"/>
        <v>0</v>
      </c>
      <c r="E23" s="144">
        <f t="shared" si="3"/>
        <v>0.12</v>
      </c>
      <c r="F23" s="151">
        <f t="shared" si="3"/>
        <v>0.19</v>
      </c>
      <c r="G23" s="144">
        <f t="shared" si="3"/>
        <v>0.22</v>
      </c>
      <c r="H23" s="151">
        <f t="shared" si="3"/>
        <v>0.25</v>
      </c>
      <c r="I23" s="144">
        <f t="shared" si="3"/>
        <v>0.28000000000000003</v>
      </c>
      <c r="J23" s="151">
        <f t="shared" si="3"/>
        <v>0.31</v>
      </c>
      <c r="K23" s="144">
        <f t="shared" si="3"/>
        <v>0.4</v>
      </c>
      <c r="L23" s="151">
        <f t="shared" si="3"/>
        <v>0.4</v>
      </c>
      <c r="M23" s="144">
        <f t="shared" si="3"/>
        <v>0.48</v>
      </c>
      <c r="N23" s="151">
        <f t="shared" si="3"/>
        <v>1.1000000000000001</v>
      </c>
      <c r="O23" s="144">
        <f t="shared" si="3"/>
        <v>1.1000000000000001</v>
      </c>
      <c r="P23" s="151">
        <f t="shared" si="3"/>
        <v>1.1000000000000001</v>
      </c>
      <c r="Q23" s="140">
        <f>SUMPRODUCT(B21:P21,B23:P23)</f>
        <v>0.10738525390625001</v>
      </c>
    </row>
    <row r="24" spans="1:18" ht="14.25" x14ac:dyDescent="0.4">
      <c r="A24" s="138" t="s">
        <v>174</v>
      </c>
      <c r="B24" s="151">
        <v>0.09</v>
      </c>
      <c r="C24" s="144">
        <v>0.18</v>
      </c>
      <c r="D24" s="151">
        <v>0.26</v>
      </c>
      <c r="E24" s="144">
        <v>0.56000000000000005</v>
      </c>
      <c r="F24" s="151">
        <v>0.77</v>
      </c>
      <c r="G24" s="144">
        <v>0.91</v>
      </c>
      <c r="H24" s="151">
        <v>1.05</v>
      </c>
      <c r="I24" s="144">
        <v>1.19</v>
      </c>
      <c r="J24" s="151">
        <v>1.33</v>
      </c>
      <c r="K24" s="144">
        <v>2.11</v>
      </c>
      <c r="L24" s="151">
        <v>3.32</v>
      </c>
      <c r="M24" s="144">
        <v>4.67</v>
      </c>
      <c r="N24" s="151">
        <v>9.9499999999999993</v>
      </c>
      <c r="O24" s="144">
        <v>9.9499999999999993</v>
      </c>
      <c r="P24" s="151">
        <v>9.9499999999999993</v>
      </c>
      <c r="Q24" s="140">
        <f>SUMPRODUCT(B21:P21,B24:P24)</f>
        <v>0.61630126953124997</v>
      </c>
      <c r="R24" s="86">
        <f>Q24*1000*1.32</f>
        <v>813.51767578125009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7FD8-9F96-4CFE-9CF9-725714B75ADC}">
  <dimension ref="A1:Q35"/>
  <sheetViews>
    <sheetView workbookViewId="0">
      <selection activeCell="D17" sqref="D17"/>
    </sheetView>
  </sheetViews>
  <sheetFormatPr defaultRowHeight="13.9" x14ac:dyDescent="0.4"/>
  <cols>
    <col min="1" max="1" width="10.86328125" bestFit="1" customWidth="1"/>
    <col min="2" max="6" width="6.46484375" bestFit="1" customWidth="1"/>
    <col min="7" max="13" width="5.46484375" bestFit="1" customWidth="1"/>
    <col min="14" max="14" width="5.06640625" customWidth="1"/>
    <col min="15" max="16" width="5.46484375" bestFit="1" customWidth="1"/>
    <col min="17" max="17" width="7.46484375" bestFit="1" customWidth="1"/>
    <col min="20" max="21" width="7.19921875" bestFit="1" customWidth="1"/>
    <col min="22" max="22" width="13.3984375" customWidth="1"/>
  </cols>
  <sheetData>
    <row r="1" spans="1:17" x14ac:dyDescent="0.4">
      <c r="A1" s="26" t="s">
        <v>59</v>
      </c>
      <c r="B1" s="26" t="s">
        <v>8</v>
      </c>
      <c r="C1" s="26" t="s">
        <v>26</v>
      </c>
      <c r="D1" s="26" t="s">
        <v>28</v>
      </c>
      <c r="E1" s="26" t="s">
        <v>12</v>
      </c>
      <c r="F1" s="26" t="s">
        <v>33</v>
      </c>
      <c r="G1" s="26" t="s">
        <v>36</v>
      </c>
      <c r="H1" s="26" t="s">
        <v>39</v>
      </c>
      <c r="I1" s="26" t="s">
        <v>42</v>
      </c>
      <c r="J1" s="26" t="s">
        <v>45</v>
      </c>
      <c r="K1" s="26" t="s">
        <v>48</v>
      </c>
      <c r="L1" s="26" t="s">
        <v>51</v>
      </c>
      <c r="M1" s="26" t="s">
        <v>53</v>
      </c>
      <c r="N1" s="26" t="s">
        <v>2</v>
      </c>
      <c r="O1" s="26" t="s">
        <v>1</v>
      </c>
      <c r="P1" s="26" t="s">
        <v>0</v>
      </c>
      <c r="Q1" s="21" t="s">
        <v>55</v>
      </c>
    </row>
    <row r="2" spans="1:17" x14ac:dyDescent="0.4">
      <c r="A2" s="21" t="s">
        <v>54</v>
      </c>
      <c r="B2" s="21">
        <v>1024</v>
      </c>
      <c r="C2" s="21">
        <v>1536</v>
      </c>
      <c r="D2" s="21">
        <v>1536</v>
      </c>
      <c r="E2" s="21">
        <v>1280</v>
      </c>
      <c r="F2" s="21">
        <v>960</v>
      </c>
      <c r="G2" s="21">
        <v>672</v>
      </c>
      <c r="H2" s="21">
        <v>448</v>
      </c>
      <c r="I2" s="21">
        <v>288</v>
      </c>
      <c r="J2" s="21">
        <v>180</v>
      </c>
      <c r="K2" s="21">
        <v>110</v>
      </c>
      <c r="L2" s="21">
        <v>66</v>
      </c>
      <c r="M2" s="21">
        <v>39</v>
      </c>
      <c r="N2" s="21">
        <v>39</v>
      </c>
      <c r="O2" s="21">
        <v>12</v>
      </c>
      <c r="P2" s="21">
        <v>2</v>
      </c>
      <c r="Q2" s="21">
        <f>SUM(B2:P2)</f>
        <v>8192</v>
      </c>
    </row>
    <row r="3" spans="1:17" x14ac:dyDescent="0.4">
      <c r="A3" s="21" t="s">
        <v>56</v>
      </c>
      <c r="B3" s="3">
        <f t="shared" ref="B3:P3" si="0">B2/8192</f>
        <v>0.125</v>
      </c>
      <c r="C3" s="3">
        <f t="shared" si="0"/>
        <v>0.1875</v>
      </c>
      <c r="D3" s="3">
        <f t="shared" si="0"/>
        <v>0.1875</v>
      </c>
      <c r="E3" s="3">
        <f t="shared" si="0"/>
        <v>0.15625</v>
      </c>
      <c r="F3" s="3">
        <f t="shared" si="0"/>
        <v>0.1171875</v>
      </c>
      <c r="G3" s="3">
        <f t="shared" si="0"/>
        <v>8.203125E-2</v>
      </c>
      <c r="H3" s="3">
        <f t="shared" si="0"/>
        <v>5.46875E-2</v>
      </c>
      <c r="I3" s="3">
        <f t="shared" si="0"/>
        <v>3.515625E-2</v>
      </c>
      <c r="J3" s="3">
        <f t="shared" si="0"/>
        <v>2.197265625E-2</v>
      </c>
      <c r="K3" s="3">
        <f t="shared" si="0"/>
        <v>1.3427734375E-2</v>
      </c>
      <c r="L3" s="3">
        <f t="shared" si="0"/>
        <v>8.056640625E-3</v>
      </c>
      <c r="M3" s="3">
        <f t="shared" si="0"/>
        <v>4.7607421875E-3</v>
      </c>
      <c r="N3" s="3">
        <f t="shared" si="0"/>
        <v>4.7607421875E-3</v>
      </c>
      <c r="O3" s="3">
        <f t="shared" si="0"/>
        <v>1.46484375E-3</v>
      </c>
      <c r="P3" s="3">
        <f t="shared" si="0"/>
        <v>2.44140625E-4</v>
      </c>
      <c r="Q3" s="25">
        <f>SUM(B3:P3)</f>
        <v>1</v>
      </c>
    </row>
    <row r="4" spans="1:17" x14ac:dyDescent="0.4">
      <c r="A4" s="21" t="s">
        <v>81</v>
      </c>
      <c r="B4" s="21">
        <v>0</v>
      </c>
      <c r="C4" s="21">
        <v>25</v>
      </c>
      <c r="D4" s="21">
        <v>62.5</v>
      </c>
      <c r="E4" s="21">
        <v>87.5</v>
      </c>
      <c r="F4" s="21">
        <v>130</v>
      </c>
      <c r="G4" s="21">
        <v>181.25</v>
      </c>
      <c r="H4" s="21">
        <v>318.75</v>
      </c>
      <c r="I4" s="21">
        <v>416.25</v>
      </c>
      <c r="J4" s="21">
        <v>438.75</v>
      </c>
      <c r="K4" s="21">
        <v>511.25</v>
      </c>
      <c r="L4" s="21">
        <v>621.25</v>
      </c>
      <c r="M4" s="21">
        <v>750</v>
      </c>
      <c r="N4" s="21">
        <v>847.5</v>
      </c>
      <c r="O4" s="21">
        <v>876.25</v>
      </c>
      <c r="P4" s="21">
        <v>898.75</v>
      </c>
      <c r="Q4" s="23"/>
    </row>
    <row r="5" spans="1:17" x14ac:dyDescent="0.4">
      <c r="A5" s="21" t="s">
        <v>80</v>
      </c>
      <c r="B5" s="24">
        <f>B2*B4/1000</f>
        <v>0</v>
      </c>
      <c r="C5" s="24">
        <f t="shared" ref="C5:P5" si="1">C2*C4/1000</f>
        <v>38.4</v>
      </c>
      <c r="D5" s="24">
        <f t="shared" si="1"/>
        <v>96</v>
      </c>
      <c r="E5" s="24">
        <f t="shared" si="1"/>
        <v>112</v>
      </c>
      <c r="F5" s="24">
        <f t="shared" si="1"/>
        <v>124.8</v>
      </c>
      <c r="G5" s="24">
        <f t="shared" si="1"/>
        <v>121.8</v>
      </c>
      <c r="H5" s="24">
        <f t="shared" si="1"/>
        <v>142.80000000000001</v>
      </c>
      <c r="I5" s="24">
        <f t="shared" si="1"/>
        <v>119.88</v>
      </c>
      <c r="J5" s="24">
        <f t="shared" si="1"/>
        <v>78.974999999999994</v>
      </c>
      <c r="K5" s="24">
        <f t="shared" si="1"/>
        <v>56.237499999999997</v>
      </c>
      <c r="L5" s="24">
        <f t="shared" si="1"/>
        <v>41.002499999999998</v>
      </c>
      <c r="M5" s="24">
        <f t="shared" si="1"/>
        <v>29.25</v>
      </c>
      <c r="N5" s="24">
        <f t="shared" si="1"/>
        <v>33.052500000000002</v>
      </c>
      <c r="O5" s="24">
        <f t="shared" si="1"/>
        <v>10.515000000000001</v>
      </c>
      <c r="P5" s="24">
        <f t="shared" si="1"/>
        <v>1.7975000000000001</v>
      </c>
      <c r="Q5" s="24">
        <f>SUM(B5:P5)</f>
        <v>1006.51</v>
      </c>
    </row>
    <row r="6" spans="1:17" x14ac:dyDescent="0.4">
      <c r="A6" s="1" t="s">
        <v>57</v>
      </c>
      <c r="B6" s="22">
        <f>B5*1000/(B2*300)</f>
        <v>0</v>
      </c>
      <c r="C6" s="22">
        <f t="shared" ref="C6:P6" si="2">C5*1000/(C2*300)</f>
        <v>8.3333333333333329E-2</v>
      </c>
      <c r="D6" s="22">
        <f t="shared" si="2"/>
        <v>0.20833333333333334</v>
      </c>
      <c r="E6" s="22">
        <f t="shared" si="2"/>
        <v>0.29166666666666669</v>
      </c>
      <c r="F6" s="22">
        <f t="shared" si="2"/>
        <v>0.43333333333333335</v>
      </c>
      <c r="G6" s="22">
        <f t="shared" si="2"/>
        <v>0.60416666666666663</v>
      </c>
      <c r="H6" s="22">
        <f t="shared" si="2"/>
        <v>1.0625</v>
      </c>
      <c r="I6" s="22">
        <f t="shared" si="2"/>
        <v>1.3875</v>
      </c>
      <c r="J6" s="22">
        <f t="shared" si="2"/>
        <v>1.4624999999999999</v>
      </c>
      <c r="K6" s="22">
        <f t="shared" si="2"/>
        <v>1.7041666666666666</v>
      </c>
      <c r="L6" s="22">
        <f t="shared" si="2"/>
        <v>2.0708333333333333</v>
      </c>
      <c r="M6" s="22">
        <f t="shared" si="2"/>
        <v>2.5</v>
      </c>
      <c r="N6" s="22">
        <f t="shared" si="2"/>
        <v>2.8250000000000002</v>
      </c>
      <c r="O6" s="22">
        <f t="shared" si="2"/>
        <v>2.9208333333333334</v>
      </c>
      <c r="P6" s="22">
        <f t="shared" si="2"/>
        <v>2.9958333333333331</v>
      </c>
      <c r="Q6" s="2">
        <f>Q5*1000/(Q2*300)</f>
        <v>0.40954996744791666</v>
      </c>
    </row>
    <row r="7" spans="1:17" x14ac:dyDescent="0.4">
      <c r="A7" s="1" t="s">
        <v>89</v>
      </c>
      <c r="B7" s="22">
        <v>0.57999999999999996</v>
      </c>
      <c r="C7" s="22">
        <v>0.52</v>
      </c>
      <c r="D7" s="22">
        <v>0.79</v>
      </c>
      <c r="E7" s="22">
        <v>0.88</v>
      </c>
      <c r="F7" s="22">
        <v>1.02</v>
      </c>
      <c r="G7" s="22">
        <v>1.04</v>
      </c>
      <c r="H7" s="22">
        <v>1.5</v>
      </c>
      <c r="I7" s="22">
        <v>1.53</v>
      </c>
      <c r="J7" s="22">
        <v>1.9</v>
      </c>
      <c r="K7" s="22">
        <v>2.14</v>
      </c>
      <c r="L7" s="22">
        <v>2.66</v>
      </c>
      <c r="M7" s="22">
        <v>3.08</v>
      </c>
      <c r="N7" s="22">
        <v>5.93</v>
      </c>
      <c r="O7" s="22">
        <v>6.03</v>
      </c>
      <c r="P7" s="22">
        <v>6.1</v>
      </c>
      <c r="Q7" s="2">
        <f>SUM(B8:P8)/Q2</f>
        <v>0.94141967773437507</v>
      </c>
    </row>
    <row r="8" spans="1:17" x14ac:dyDescent="0.4">
      <c r="A8" s="21" t="s">
        <v>58</v>
      </c>
      <c r="B8" s="21">
        <f>B2*B7</f>
        <v>593.91999999999996</v>
      </c>
      <c r="C8" s="21">
        <f t="shared" ref="C8:P8" si="3">C2*C7</f>
        <v>798.72</v>
      </c>
      <c r="D8" s="21">
        <f t="shared" si="3"/>
        <v>1213.44</v>
      </c>
      <c r="E8" s="21">
        <f t="shared" si="3"/>
        <v>1126.4000000000001</v>
      </c>
      <c r="F8" s="21">
        <f t="shared" si="3"/>
        <v>979.2</v>
      </c>
      <c r="G8" s="21">
        <f t="shared" si="3"/>
        <v>698.88</v>
      </c>
      <c r="H8" s="21">
        <f t="shared" si="3"/>
        <v>672</v>
      </c>
      <c r="I8" s="21">
        <f t="shared" si="3"/>
        <v>440.64</v>
      </c>
      <c r="J8" s="21">
        <f t="shared" si="3"/>
        <v>342</v>
      </c>
      <c r="K8" s="21">
        <f t="shared" si="3"/>
        <v>235.4</v>
      </c>
      <c r="L8" s="21">
        <f t="shared" si="3"/>
        <v>175.56</v>
      </c>
      <c r="M8" s="21">
        <f t="shared" si="3"/>
        <v>120.12</v>
      </c>
      <c r="N8" s="21">
        <f t="shared" si="3"/>
        <v>231.26999999999998</v>
      </c>
      <c r="O8" s="21">
        <f t="shared" si="3"/>
        <v>72.36</v>
      </c>
      <c r="P8" s="21">
        <f t="shared" si="3"/>
        <v>12.2</v>
      </c>
      <c r="Q8" s="21"/>
    </row>
    <row r="9" spans="1:17" x14ac:dyDescent="0.4">
      <c r="A9" s="21" t="s">
        <v>99</v>
      </c>
      <c r="B9" s="42">
        <v>0</v>
      </c>
      <c r="C9" s="42">
        <v>25</v>
      </c>
      <c r="D9" s="42">
        <v>62.5</v>
      </c>
      <c r="E9" s="42">
        <v>87.5</v>
      </c>
      <c r="F9" s="42">
        <v>130</v>
      </c>
      <c r="G9" s="42">
        <v>181.25</v>
      </c>
      <c r="H9" s="42">
        <v>268.75</v>
      </c>
      <c r="I9" s="42">
        <v>356.25</v>
      </c>
      <c r="J9" s="42">
        <v>368.75</v>
      </c>
      <c r="K9" s="42">
        <v>431.25</v>
      </c>
      <c r="L9" s="42">
        <v>531.25</v>
      </c>
      <c r="M9" s="42">
        <v>650</v>
      </c>
      <c r="N9" s="42">
        <v>737.5</v>
      </c>
      <c r="O9" s="42">
        <v>756.25</v>
      </c>
      <c r="P9" s="42">
        <v>768.75</v>
      </c>
      <c r="Q9" s="2">
        <f>SUMPRODUCT(B2:P2,B9:P9)/(Q2*300)</f>
        <v>0.37825520833333331</v>
      </c>
    </row>
    <row r="11" spans="1:17" x14ac:dyDescent="0.4">
      <c r="A11" s="31" t="s">
        <v>79</v>
      </c>
      <c r="B11" s="31" t="s">
        <v>8</v>
      </c>
      <c r="C11" s="31" t="s">
        <v>26</v>
      </c>
      <c r="D11" s="31" t="s">
        <v>28</v>
      </c>
      <c r="E11" s="31" t="s">
        <v>12</v>
      </c>
      <c r="F11" s="31" t="s">
        <v>33</v>
      </c>
      <c r="G11" s="31" t="s">
        <v>36</v>
      </c>
      <c r="H11" s="31" t="s">
        <v>39</v>
      </c>
      <c r="I11" s="31" t="s">
        <v>42</v>
      </c>
      <c r="J11" s="31" t="s">
        <v>45</v>
      </c>
      <c r="K11" s="31" t="s">
        <v>48</v>
      </c>
      <c r="L11" s="31" t="s">
        <v>51</v>
      </c>
      <c r="M11" s="31" t="s">
        <v>53</v>
      </c>
      <c r="N11" s="31" t="s">
        <v>2</v>
      </c>
      <c r="O11" s="31" t="s">
        <v>1</v>
      </c>
      <c r="P11" s="31" t="s">
        <v>0</v>
      </c>
      <c r="Q11" s="27" t="s">
        <v>55</v>
      </c>
    </row>
    <row r="12" spans="1:17" x14ac:dyDescent="0.4">
      <c r="A12" s="27" t="s">
        <v>54</v>
      </c>
      <c r="B12" s="27">
        <v>1024</v>
      </c>
      <c r="C12" s="27">
        <v>1536</v>
      </c>
      <c r="D12" s="27">
        <v>1536</v>
      </c>
      <c r="E12" s="27">
        <v>1280</v>
      </c>
      <c r="F12" s="27">
        <v>960</v>
      </c>
      <c r="G12" s="27">
        <v>672</v>
      </c>
      <c r="H12" s="27">
        <v>448</v>
      </c>
      <c r="I12" s="27">
        <v>288</v>
      </c>
      <c r="J12" s="27">
        <v>180</v>
      </c>
      <c r="K12" s="27">
        <v>110</v>
      </c>
      <c r="L12" s="27">
        <v>66</v>
      </c>
      <c r="M12" s="27">
        <v>39</v>
      </c>
      <c r="N12" s="27">
        <v>39</v>
      </c>
      <c r="O12" s="27">
        <v>12</v>
      </c>
      <c r="P12" s="27">
        <v>2</v>
      </c>
      <c r="Q12" s="27">
        <f>SUM(B12:P12)</f>
        <v>8192</v>
      </c>
    </row>
    <row r="13" spans="1:17" x14ac:dyDescent="0.4">
      <c r="A13" s="27" t="s">
        <v>56</v>
      </c>
      <c r="B13" s="3">
        <f t="shared" ref="B13:P13" si="4">B12/8192</f>
        <v>0.125</v>
      </c>
      <c r="C13" s="3">
        <f t="shared" si="4"/>
        <v>0.1875</v>
      </c>
      <c r="D13" s="3">
        <f t="shared" si="4"/>
        <v>0.1875</v>
      </c>
      <c r="E13" s="3">
        <f t="shared" si="4"/>
        <v>0.15625</v>
      </c>
      <c r="F13" s="3">
        <f t="shared" si="4"/>
        <v>0.1171875</v>
      </c>
      <c r="G13" s="3">
        <f t="shared" si="4"/>
        <v>8.203125E-2</v>
      </c>
      <c r="H13" s="3">
        <f t="shared" si="4"/>
        <v>5.46875E-2</v>
      </c>
      <c r="I13" s="3">
        <f t="shared" si="4"/>
        <v>3.515625E-2</v>
      </c>
      <c r="J13" s="3">
        <f t="shared" si="4"/>
        <v>2.197265625E-2</v>
      </c>
      <c r="K13" s="3">
        <f t="shared" si="4"/>
        <v>1.3427734375E-2</v>
      </c>
      <c r="L13" s="3">
        <f t="shared" si="4"/>
        <v>8.056640625E-3</v>
      </c>
      <c r="M13" s="3">
        <f t="shared" si="4"/>
        <v>4.7607421875E-3</v>
      </c>
      <c r="N13" s="3">
        <f t="shared" si="4"/>
        <v>4.7607421875E-3</v>
      </c>
      <c r="O13" s="3">
        <f t="shared" si="4"/>
        <v>1.46484375E-3</v>
      </c>
      <c r="P13" s="3">
        <f t="shared" si="4"/>
        <v>2.44140625E-4</v>
      </c>
      <c r="Q13" s="30">
        <f>SUM(B13:P13)</f>
        <v>1</v>
      </c>
    </row>
    <row r="14" spans="1:17" x14ac:dyDescent="0.4">
      <c r="A14" s="27" t="s">
        <v>81</v>
      </c>
      <c r="B14" s="27">
        <v>0</v>
      </c>
      <c r="C14" s="27">
        <v>0</v>
      </c>
      <c r="D14" s="27">
        <v>35</v>
      </c>
      <c r="E14" s="27">
        <v>62.5</v>
      </c>
      <c r="F14" s="27">
        <v>105</v>
      </c>
      <c r="G14" s="27">
        <v>150</v>
      </c>
      <c r="H14" s="27">
        <v>250</v>
      </c>
      <c r="I14" s="27">
        <v>420</v>
      </c>
      <c r="J14" s="27">
        <v>440</v>
      </c>
      <c r="K14" s="27">
        <v>460</v>
      </c>
      <c r="L14" s="27">
        <v>480</v>
      </c>
      <c r="M14" s="27">
        <v>500</v>
      </c>
      <c r="N14" s="27">
        <v>520</v>
      </c>
      <c r="O14" s="27">
        <v>540</v>
      </c>
      <c r="P14" s="27">
        <v>560</v>
      </c>
      <c r="Q14" s="27"/>
    </row>
    <row r="15" spans="1:17" x14ac:dyDescent="0.4">
      <c r="A15" s="27" t="s">
        <v>80</v>
      </c>
      <c r="B15" s="29">
        <f>B12*B14/1000</f>
        <v>0</v>
      </c>
      <c r="C15" s="29">
        <f t="shared" ref="C15:P15" si="5">C12*C14/1000</f>
        <v>0</v>
      </c>
      <c r="D15" s="29">
        <f t="shared" si="5"/>
        <v>53.76</v>
      </c>
      <c r="E15" s="29">
        <f t="shared" si="5"/>
        <v>80</v>
      </c>
      <c r="F15" s="29">
        <f t="shared" si="5"/>
        <v>100.8</v>
      </c>
      <c r="G15" s="29">
        <f t="shared" si="5"/>
        <v>100.8</v>
      </c>
      <c r="H15" s="29">
        <f t="shared" si="5"/>
        <v>112</v>
      </c>
      <c r="I15" s="29">
        <f t="shared" si="5"/>
        <v>120.96</v>
      </c>
      <c r="J15" s="29">
        <f t="shared" si="5"/>
        <v>79.2</v>
      </c>
      <c r="K15" s="29">
        <f t="shared" si="5"/>
        <v>50.6</v>
      </c>
      <c r="L15" s="29">
        <f t="shared" si="5"/>
        <v>31.68</v>
      </c>
      <c r="M15" s="29">
        <f t="shared" si="5"/>
        <v>19.5</v>
      </c>
      <c r="N15" s="29">
        <f t="shared" si="5"/>
        <v>20.28</v>
      </c>
      <c r="O15" s="29">
        <f t="shared" si="5"/>
        <v>6.48</v>
      </c>
      <c r="P15" s="29">
        <f t="shared" si="5"/>
        <v>1.1200000000000001</v>
      </c>
      <c r="Q15" s="29">
        <f>SUM(B15:P15)</f>
        <v>777.18000000000006</v>
      </c>
    </row>
    <row r="16" spans="1:17" x14ac:dyDescent="0.4">
      <c r="A16" s="1" t="s">
        <v>57</v>
      </c>
      <c r="B16" s="28">
        <f>B15*1000/(B12*300)</f>
        <v>0</v>
      </c>
      <c r="C16" s="28">
        <f t="shared" ref="C16:P16" si="6">C15*1000/(C12*300)</f>
        <v>0</v>
      </c>
      <c r="D16" s="28">
        <f t="shared" si="6"/>
        <v>0.11666666666666667</v>
      </c>
      <c r="E16" s="28">
        <f t="shared" si="6"/>
        <v>0.20833333333333334</v>
      </c>
      <c r="F16" s="28">
        <f t="shared" si="6"/>
        <v>0.35</v>
      </c>
      <c r="G16" s="28">
        <f t="shared" si="6"/>
        <v>0.5</v>
      </c>
      <c r="H16" s="28">
        <f t="shared" si="6"/>
        <v>0.83333333333333337</v>
      </c>
      <c r="I16" s="28">
        <f t="shared" si="6"/>
        <v>1.4</v>
      </c>
      <c r="J16" s="28">
        <f t="shared" si="6"/>
        <v>1.4666666666666666</v>
      </c>
      <c r="K16" s="28">
        <f t="shared" si="6"/>
        <v>1.5333333333333334</v>
      </c>
      <c r="L16" s="28">
        <f t="shared" si="6"/>
        <v>1.6</v>
      </c>
      <c r="M16" s="28">
        <f t="shared" si="6"/>
        <v>1.6666666666666667</v>
      </c>
      <c r="N16" s="28">
        <f t="shared" si="6"/>
        <v>1.7333333333333334</v>
      </c>
      <c r="O16" s="28">
        <f t="shared" si="6"/>
        <v>1.8</v>
      </c>
      <c r="P16" s="28">
        <f t="shared" si="6"/>
        <v>1.8666666666666667</v>
      </c>
      <c r="Q16" s="2">
        <f>Q15*1000/(Q12*300)</f>
        <v>0.31623535156250004</v>
      </c>
    </row>
    <row r="17" spans="1:17" x14ac:dyDescent="0.4">
      <c r="A17" s="1" t="s">
        <v>89</v>
      </c>
      <c r="B17" s="28">
        <v>0.57999999999999996</v>
      </c>
      <c r="C17" s="28">
        <v>0.57999999999999996</v>
      </c>
      <c r="D17" s="28">
        <v>0.7</v>
      </c>
      <c r="E17" s="28">
        <v>0.79</v>
      </c>
      <c r="F17" s="28">
        <v>0.93</v>
      </c>
      <c r="G17" s="28">
        <v>1.17</v>
      </c>
      <c r="H17" s="28">
        <v>1.79</v>
      </c>
      <c r="I17" s="28">
        <v>2.46</v>
      </c>
      <c r="J17" s="28">
        <v>2.87</v>
      </c>
      <c r="K17" s="28">
        <v>3.21</v>
      </c>
      <c r="L17" s="28">
        <v>3.94</v>
      </c>
      <c r="M17" s="28">
        <v>5.05</v>
      </c>
      <c r="N17" s="28">
        <v>5.94</v>
      </c>
      <c r="O17" s="28">
        <v>6.2</v>
      </c>
      <c r="P17" s="28">
        <v>6.45</v>
      </c>
      <c r="Q17" s="2">
        <f>SUM(B18:P18)/Q12</f>
        <v>1.0261584472656249</v>
      </c>
    </row>
    <row r="18" spans="1:17" x14ac:dyDescent="0.4">
      <c r="A18" s="27" t="s">
        <v>82</v>
      </c>
      <c r="B18" s="27">
        <f t="shared" ref="B18:P18" si="7">B12*B17</f>
        <v>593.91999999999996</v>
      </c>
      <c r="C18" s="27">
        <f t="shared" si="7"/>
        <v>890.87999999999988</v>
      </c>
      <c r="D18" s="27">
        <f t="shared" si="7"/>
        <v>1075.1999999999998</v>
      </c>
      <c r="E18" s="27">
        <f t="shared" si="7"/>
        <v>1011.2</v>
      </c>
      <c r="F18" s="27">
        <f t="shared" si="7"/>
        <v>892.80000000000007</v>
      </c>
      <c r="G18" s="27">
        <f t="shared" si="7"/>
        <v>786.24</v>
      </c>
      <c r="H18" s="27">
        <f t="shared" si="7"/>
        <v>801.92000000000007</v>
      </c>
      <c r="I18" s="27">
        <f t="shared" si="7"/>
        <v>708.48</v>
      </c>
      <c r="J18" s="27">
        <f t="shared" si="7"/>
        <v>516.6</v>
      </c>
      <c r="K18" s="27">
        <f t="shared" si="7"/>
        <v>353.1</v>
      </c>
      <c r="L18" s="27">
        <f t="shared" si="7"/>
        <v>260.04000000000002</v>
      </c>
      <c r="M18" s="27">
        <f t="shared" si="7"/>
        <v>196.95</v>
      </c>
      <c r="N18" s="27">
        <f t="shared" si="7"/>
        <v>231.66000000000003</v>
      </c>
      <c r="O18" s="27">
        <f t="shared" si="7"/>
        <v>74.400000000000006</v>
      </c>
      <c r="P18" s="27">
        <f t="shared" si="7"/>
        <v>12.9</v>
      </c>
      <c r="Q18" s="27"/>
    </row>
    <row r="19" spans="1:17" x14ac:dyDescent="0.4">
      <c r="A19" s="27" t="s">
        <v>100</v>
      </c>
      <c r="B19" s="42">
        <v>0</v>
      </c>
      <c r="C19" s="42">
        <v>0</v>
      </c>
      <c r="D19" s="42">
        <v>35</v>
      </c>
      <c r="E19" s="42">
        <v>62.5</v>
      </c>
      <c r="F19" s="42">
        <v>105</v>
      </c>
      <c r="G19" s="42">
        <v>150</v>
      </c>
      <c r="H19" s="42">
        <v>225</v>
      </c>
      <c r="I19" s="42">
        <v>300</v>
      </c>
      <c r="J19" s="42">
        <v>300</v>
      </c>
      <c r="K19" s="42">
        <v>300</v>
      </c>
      <c r="L19" s="42">
        <v>300</v>
      </c>
      <c r="M19" s="42">
        <v>300</v>
      </c>
      <c r="N19" s="42">
        <v>300</v>
      </c>
      <c r="O19" s="42">
        <v>300</v>
      </c>
      <c r="P19" s="42">
        <v>300</v>
      </c>
      <c r="Q19" s="2">
        <f>SUMPRODUCT(B12:P12,B19:P19)/(Q12*300)</f>
        <v>0.26731770833333335</v>
      </c>
    </row>
    <row r="21" spans="1:17" x14ac:dyDescent="0.4">
      <c r="A21" s="34" t="s">
        <v>60</v>
      </c>
      <c r="B21" s="34" t="s">
        <v>8</v>
      </c>
      <c r="C21" s="34" t="s">
        <v>26</v>
      </c>
      <c r="D21" s="34" t="s">
        <v>28</v>
      </c>
      <c r="E21" s="34" t="s">
        <v>12</v>
      </c>
      <c r="F21" s="34" t="s">
        <v>33</v>
      </c>
      <c r="G21" s="34" t="s">
        <v>36</v>
      </c>
      <c r="H21" s="34" t="s">
        <v>39</v>
      </c>
      <c r="I21" s="34" t="s">
        <v>42</v>
      </c>
      <c r="J21" s="34" t="s">
        <v>45</v>
      </c>
      <c r="K21" s="34" t="s">
        <v>48</v>
      </c>
      <c r="L21" s="34" t="s">
        <v>51</v>
      </c>
      <c r="M21" s="34" t="s">
        <v>53</v>
      </c>
      <c r="N21" s="34" t="s">
        <v>2</v>
      </c>
      <c r="O21" s="34" t="s">
        <v>1</v>
      </c>
      <c r="P21" s="34" t="s">
        <v>0</v>
      </c>
      <c r="Q21" s="33" t="s">
        <v>55</v>
      </c>
    </row>
    <row r="22" spans="1:17" x14ac:dyDescent="0.4">
      <c r="A22" s="33" t="s">
        <v>54</v>
      </c>
      <c r="B22" s="33">
        <v>1024</v>
      </c>
      <c r="C22" s="33">
        <v>1536</v>
      </c>
      <c r="D22" s="33">
        <v>1536</v>
      </c>
      <c r="E22" s="33">
        <v>1280</v>
      </c>
      <c r="F22" s="33">
        <v>960</v>
      </c>
      <c r="G22" s="33">
        <v>672</v>
      </c>
      <c r="H22" s="33">
        <v>448</v>
      </c>
      <c r="I22" s="33">
        <v>288</v>
      </c>
      <c r="J22" s="33">
        <v>180</v>
      </c>
      <c r="K22" s="33">
        <v>110</v>
      </c>
      <c r="L22" s="33">
        <v>66</v>
      </c>
      <c r="M22" s="33">
        <v>39</v>
      </c>
      <c r="N22" s="33">
        <v>39</v>
      </c>
      <c r="O22" s="33">
        <v>12</v>
      </c>
      <c r="P22" s="33">
        <v>2</v>
      </c>
      <c r="Q22" s="33">
        <f>SUM(B22:P22)</f>
        <v>8192</v>
      </c>
    </row>
    <row r="23" spans="1:17" x14ac:dyDescent="0.4">
      <c r="A23" s="33" t="s">
        <v>56</v>
      </c>
      <c r="B23" s="3">
        <f t="shared" ref="B23:P23" si="8">B22/8192</f>
        <v>0.125</v>
      </c>
      <c r="C23" s="3">
        <f t="shared" si="8"/>
        <v>0.1875</v>
      </c>
      <c r="D23" s="3">
        <f t="shared" si="8"/>
        <v>0.1875</v>
      </c>
      <c r="E23" s="3">
        <f t="shared" si="8"/>
        <v>0.15625</v>
      </c>
      <c r="F23" s="3">
        <f t="shared" si="8"/>
        <v>0.1171875</v>
      </c>
      <c r="G23" s="3">
        <f t="shared" si="8"/>
        <v>8.203125E-2</v>
      </c>
      <c r="H23" s="3">
        <f t="shared" si="8"/>
        <v>5.46875E-2</v>
      </c>
      <c r="I23" s="3">
        <f t="shared" si="8"/>
        <v>3.515625E-2</v>
      </c>
      <c r="J23" s="3">
        <f t="shared" si="8"/>
        <v>2.197265625E-2</v>
      </c>
      <c r="K23" s="3">
        <f t="shared" si="8"/>
        <v>1.3427734375E-2</v>
      </c>
      <c r="L23" s="3">
        <f t="shared" si="8"/>
        <v>8.056640625E-3</v>
      </c>
      <c r="M23" s="3">
        <f t="shared" si="8"/>
        <v>4.7607421875E-3</v>
      </c>
      <c r="N23" s="3">
        <f t="shared" si="8"/>
        <v>4.7607421875E-3</v>
      </c>
      <c r="O23" s="3">
        <f t="shared" si="8"/>
        <v>1.46484375E-3</v>
      </c>
      <c r="P23" s="3">
        <f t="shared" si="8"/>
        <v>2.44140625E-4</v>
      </c>
      <c r="Q23" s="35">
        <f>SUM(B23:P23)</f>
        <v>1</v>
      </c>
    </row>
    <row r="24" spans="1:17" x14ac:dyDescent="0.4">
      <c r="A24" s="1" t="s">
        <v>81</v>
      </c>
      <c r="B24" s="33">
        <v>9.1666666666666661</v>
      </c>
      <c r="C24" s="33">
        <v>10.833333333333334</v>
      </c>
      <c r="D24" s="33">
        <v>15</v>
      </c>
      <c r="E24" s="33">
        <v>37.5</v>
      </c>
      <c r="F24" s="33">
        <v>62.5</v>
      </c>
      <c r="G24" s="33">
        <v>72.5</v>
      </c>
      <c r="H24" s="33">
        <v>97.5</v>
      </c>
      <c r="I24" s="33">
        <v>162.5</v>
      </c>
      <c r="J24" s="33">
        <v>183.75</v>
      </c>
      <c r="K24" s="33">
        <v>215</v>
      </c>
      <c r="L24" s="33">
        <v>254.16666666666666</v>
      </c>
      <c r="M24" s="33">
        <v>306.66666666666663</v>
      </c>
      <c r="N24" s="33">
        <v>358.33333333333331</v>
      </c>
      <c r="O24" s="33">
        <v>358.33333333333331</v>
      </c>
      <c r="P24" s="33">
        <v>358.33333333333331</v>
      </c>
      <c r="Q24" s="33"/>
    </row>
    <row r="25" spans="1:17" x14ac:dyDescent="0.4">
      <c r="A25" s="1" t="s">
        <v>80</v>
      </c>
      <c r="B25" s="33">
        <f>B22*B24/1000</f>
        <v>9.3866666666666667</v>
      </c>
      <c r="C25" s="33">
        <f t="shared" ref="C25:P25" si="9">C22*C24/1000</f>
        <v>16.64</v>
      </c>
      <c r="D25" s="33">
        <f t="shared" si="9"/>
        <v>23.04</v>
      </c>
      <c r="E25" s="33">
        <f t="shared" si="9"/>
        <v>48</v>
      </c>
      <c r="F25" s="33">
        <f t="shared" si="9"/>
        <v>60</v>
      </c>
      <c r="G25" s="33">
        <f t="shared" si="9"/>
        <v>48.72</v>
      </c>
      <c r="H25" s="33">
        <f t="shared" si="9"/>
        <v>43.68</v>
      </c>
      <c r="I25" s="33">
        <f t="shared" si="9"/>
        <v>46.8</v>
      </c>
      <c r="J25" s="33">
        <f t="shared" si="9"/>
        <v>33.075000000000003</v>
      </c>
      <c r="K25" s="33">
        <f t="shared" si="9"/>
        <v>23.65</v>
      </c>
      <c r="L25" s="33">
        <f t="shared" si="9"/>
        <v>16.774999999999999</v>
      </c>
      <c r="M25" s="33">
        <f t="shared" si="9"/>
        <v>11.959999999999997</v>
      </c>
      <c r="N25" s="33">
        <f t="shared" si="9"/>
        <v>13.975</v>
      </c>
      <c r="O25" s="33">
        <f t="shared" si="9"/>
        <v>4.3</v>
      </c>
      <c r="P25" s="33">
        <f t="shared" si="9"/>
        <v>0.71666666666666667</v>
      </c>
      <c r="Q25" s="33">
        <f>SUM(B25:P25)</f>
        <v>400.71833333333325</v>
      </c>
    </row>
    <row r="26" spans="1:17" x14ac:dyDescent="0.4">
      <c r="A26" s="1" t="s">
        <v>57</v>
      </c>
      <c r="B26" s="32">
        <f>B25*1000/(B22*150)</f>
        <v>6.1111111111111109E-2</v>
      </c>
      <c r="C26" s="32">
        <f t="shared" ref="C26:P26" si="10">C25*1000/(C22*150)</f>
        <v>7.2222222222222215E-2</v>
      </c>
      <c r="D26" s="32">
        <f t="shared" si="10"/>
        <v>0.1</v>
      </c>
      <c r="E26" s="32">
        <f t="shared" si="10"/>
        <v>0.25</v>
      </c>
      <c r="F26" s="32">
        <f t="shared" si="10"/>
        <v>0.41666666666666669</v>
      </c>
      <c r="G26" s="32">
        <f t="shared" si="10"/>
        <v>0.48333333333333334</v>
      </c>
      <c r="H26" s="32">
        <f t="shared" si="10"/>
        <v>0.65</v>
      </c>
      <c r="I26" s="32">
        <f t="shared" si="10"/>
        <v>1.0833333333333333</v>
      </c>
      <c r="J26" s="32">
        <f t="shared" si="10"/>
        <v>1.2250000000000001</v>
      </c>
      <c r="K26" s="32">
        <f t="shared" si="10"/>
        <v>1.4333333333333333</v>
      </c>
      <c r="L26" s="32">
        <f t="shared" si="10"/>
        <v>1.6944444444444444</v>
      </c>
      <c r="M26" s="32">
        <f t="shared" si="10"/>
        <v>2.0444444444444443</v>
      </c>
      <c r="N26" s="32">
        <f t="shared" si="10"/>
        <v>2.3888888888888888</v>
      </c>
      <c r="O26" s="32">
        <f t="shared" si="10"/>
        <v>2.3888888888888888</v>
      </c>
      <c r="P26" s="32">
        <f t="shared" si="10"/>
        <v>2.3888888888888888</v>
      </c>
      <c r="Q26" s="2">
        <f>(Q25*1000)/(Q22*150)</f>
        <v>0.32610541449652769</v>
      </c>
    </row>
    <row r="28" spans="1:17" x14ac:dyDescent="0.4">
      <c r="A28" s="40" t="s">
        <v>61</v>
      </c>
      <c r="B28" s="40" t="s">
        <v>8</v>
      </c>
      <c r="C28" s="40" t="s">
        <v>26</v>
      </c>
      <c r="D28" s="40" t="s">
        <v>28</v>
      </c>
      <c r="E28" s="40" t="s">
        <v>12</v>
      </c>
      <c r="F28" s="40" t="s">
        <v>33</v>
      </c>
      <c r="G28" s="40" t="s">
        <v>36</v>
      </c>
      <c r="H28" s="40" t="s">
        <v>39</v>
      </c>
      <c r="I28" s="40" t="s">
        <v>42</v>
      </c>
      <c r="J28" s="40" t="s">
        <v>45</v>
      </c>
      <c r="K28" s="40" t="s">
        <v>48</v>
      </c>
      <c r="L28" s="40" t="s">
        <v>51</v>
      </c>
      <c r="M28" s="40" t="s">
        <v>53</v>
      </c>
      <c r="N28" s="40" t="s">
        <v>2</v>
      </c>
      <c r="O28" s="40" t="s">
        <v>1</v>
      </c>
      <c r="P28" s="40" t="s">
        <v>0</v>
      </c>
      <c r="Q28" s="36" t="s">
        <v>55</v>
      </c>
    </row>
    <row r="29" spans="1:17" x14ac:dyDescent="0.4">
      <c r="A29" s="36" t="s">
        <v>54</v>
      </c>
      <c r="B29" s="36">
        <v>1024</v>
      </c>
      <c r="C29" s="36">
        <v>1536</v>
      </c>
      <c r="D29" s="36">
        <v>1536</v>
      </c>
      <c r="E29" s="36">
        <v>1280</v>
      </c>
      <c r="F29" s="36">
        <v>960</v>
      </c>
      <c r="G29" s="36">
        <v>672</v>
      </c>
      <c r="H29" s="36">
        <v>448</v>
      </c>
      <c r="I29" s="36">
        <v>288</v>
      </c>
      <c r="J29" s="36">
        <v>180</v>
      </c>
      <c r="K29" s="36">
        <v>110</v>
      </c>
      <c r="L29" s="36">
        <v>66</v>
      </c>
      <c r="M29" s="36">
        <v>39</v>
      </c>
      <c r="N29" s="36">
        <v>39</v>
      </c>
      <c r="O29" s="36">
        <v>12</v>
      </c>
      <c r="P29" s="36">
        <v>2</v>
      </c>
      <c r="Q29" s="36">
        <f>SUM(B29:P29)</f>
        <v>8192</v>
      </c>
    </row>
    <row r="30" spans="1:17" x14ac:dyDescent="0.4">
      <c r="A30" s="36" t="s">
        <v>56</v>
      </c>
      <c r="B30" s="3">
        <f t="shared" ref="B30:P30" si="11">B29/8192</f>
        <v>0.125</v>
      </c>
      <c r="C30" s="3">
        <f t="shared" si="11"/>
        <v>0.1875</v>
      </c>
      <c r="D30" s="3">
        <f t="shared" si="11"/>
        <v>0.1875</v>
      </c>
      <c r="E30" s="3">
        <f t="shared" si="11"/>
        <v>0.15625</v>
      </c>
      <c r="F30" s="3">
        <f t="shared" si="11"/>
        <v>0.1171875</v>
      </c>
      <c r="G30" s="3">
        <f t="shared" si="11"/>
        <v>8.203125E-2</v>
      </c>
      <c r="H30" s="3">
        <f t="shared" si="11"/>
        <v>5.46875E-2</v>
      </c>
      <c r="I30" s="3">
        <f t="shared" si="11"/>
        <v>3.515625E-2</v>
      </c>
      <c r="J30" s="3">
        <f t="shared" si="11"/>
        <v>2.197265625E-2</v>
      </c>
      <c r="K30" s="3">
        <f t="shared" si="11"/>
        <v>1.3427734375E-2</v>
      </c>
      <c r="L30" s="3">
        <f t="shared" si="11"/>
        <v>8.056640625E-3</v>
      </c>
      <c r="M30" s="3">
        <f t="shared" si="11"/>
        <v>4.7607421875E-3</v>
      </c>
      <c r="N30" s="3">
        <f t="shared" si="11"/>
        <v>4.7607421875E-3</v>
      </c>
      <c r="O30" s="3">
        <f t="shared" si="11"/>
        <v>1.46484375E-3</v>
      </c>
      <c r="P30" s="3">
        <f t="shared" si="11"/>
        <v>2.44140625E-4</v>
      </c>
      <c r="Q30" s="39">
        <f>SUM(B30:P30)</f>
        <v>1</v>
      </c>
    </row>
    <row r="31" spans="1:17" x14ac:dyDescent="0.4">
      <c r="A31" s="36" t="s">
        <v>81</v>
      </c>
      <c r="B31" s="36">
        <v>0</v>
      </c>
      <c r="C31" s="36">
        <v>0</v>
      </c>
      <c r="D31" s="36">
        <v>0</v>
      </c>
      <c r="E31" s="36">
        <v>120</v>
      </c>
      <c r="F31" s="36">
        <v>190</v>
      </c>
      <c r="G31" s="36">
        <v>220</v>
      </c>
      <c r="H31" s="36">
        <v>250</v>
      </c>
      <c r="I31" s="36">
        <v>280</v>
      </c>
      <c r="J31" s="36">
        <v>310</v>
      </c>
      <c r="K31" s="36">
        <v>400</v>
      </c>
      <c r="L31" s="36">
        <v>400</v>
      </c>
      <c r="M31" s="36">
        <v>480</v>
      </c>
      <c r="N31" s="36">
        <v>1100</v>
      </c>
      <c r="O31" s="36">
        <v>1100</v>
      </c>
      <c r="P31" s="36">
        <v>1100</v>
      </c>
      <c r="Q31" s="36"/>
    </row>
    <row r="32" spans="1:17" x14ac:dyDescent="0.4">
      <c r="A32" s="36" t="s">
        <v>80</v>
      </c>
      <c r="B32" s="38">
        <f>B29*B31/1000</f>
        <v>0</v>
      </c>
      <c r="C32" s="38">
        <f t="shared" ref="C32:P32" si="12">C29*C31/1000</f>
        <v>0</v>
      </c>
      <c r="D32" s="38">
        <f t="shared" si="12"/>
        <v>0</v>
      </c>
      <c r="E32" s="38">
        <f t="shared" si="12"/>
        <v>153.6</v>
      </c>
      <c r="F32" s="38">
        <f t="shared" si="12"/>
        <v>182.4</v>
      </c>
      <c r="G32" s="38">
        <f t="shared" si="12"/>
        <v>147.84</v>
      </c>
      <c r="H32" s="38">
        <f t="shared" si="12"/>
        <v>112</v>
      </c>
      <c r="I32" s="38">
        <f t="shared" si="12"/>
        <v>80.64</v>
      </c>
      <c r="J32" s="38">
        <f t="shared" si="12"/>
        <v>55.8</v>
      </c>
      <c r="K32" s="38">
        <f t="shared" si="12"/>
        <v>44</v>
      </c>
      <c r="L32" s="38">
        <f t="shared" si="12"/>
        <v>26.4</v>
      </c>
      <c r="M32" s="38">
        <f t="shared" si="12"/>
        <v>18.72</v>
      </c>
      <c r="N32" s="38">
        <f t="shared" si="12"/>
        <v>42.9</v>
      </c>
      <c r="O32" s="38">
        <f t="shared" si="12"/>
        <v>13.2</v>
      </c>
      <c r="P32" s="38">
        <f t="shared" si="12"/>
        <v>2.2000000000000002</v>
      </c>
      <c r="Q32" s="38">
        <f>SUM(B32:P32)</f>
        <v>879.7</v>
      </c>
    </row>
    <row r="33" spans="1:17" x14ac:dyDescent="0.4">
      <c r="A33" s="1" t="s">
        <v>57</v>
      </c>
      <c r="B33" s="37">
        <f>B32*1000/(B29*1000)</f>
        <v>0</v>
      </c>
      <c r="C33" s="37">
        <f t="shared" ref="C33:P33" si="13">C32*1000/(C29*1000)</f>
        <v>0</v>
      </c>
      <c r="D33" s="37">
        <f t="shared" si="13"/>
        <v>0</v>
      </c>
      <c r="E33" s="37">
        <f t="shared" si="13"/>
        <v>0.12</v>
      </c>
      <c r="F33" s="37">
        <f t="shared" si="13"/>
        <v>0.19</v>
      </c>
      <c r="G33" s="37">
        <f t="shared" si="13"/>
        <v>0.22</v>
      </c>
      <c r="H33" s="37">
        <f t="shared" si="13"/>
        <v>0.25</v>
      </c>
      <c r="I33" s="37">
        <f t="shared" si="13"/>
        <v>0.28000000000000003</v>
      </c>
      <c r="J33" s="37">
        <f t="shared" si="13"/>
        <v>0.31</v>
      </c>
      <c r="K33" s="37">
        <f t="shared" si="13"/>
        <v>0.4</v>
      </c>
      <c r="L33" s="37">
        <f t="shared" si="13"/>
        <v>0.4</v>
      </c>
      <c r="M33" s="37">
        <f t="shared" si="13"/>
        <v>0.48</v>
      </c>
      <c r="N33" s="37">
        <f t="shared" si="13"/>
        <v>1.1000000000000001</v>
      </c>
      <c r="O33" s="37">
        <f t="shared" si="13"/>
        <v>1.1000000000000001</v>
      </c>
      <c r="P33" s="37">
        <f t="shared" si="13"/>
        <v>1.1000000000000001</v>
      </c>
      <c r="Q33" s="2">
        <f>(Q32*1000)/(Q29*1000)</f>
        <v>0.10738525390625001</v>
      </c>
    </row>
    <row r="34" spans="1:17" x14ac:dyDescent="0.4">
      <c r="A34" s="1" t="s">
        <v>89</v>
      </c>
      <c r="B34" s="37">
        <v>0.09</v>
      </c>
      <c r="C34" s="37">
        <v>0.18</v>
      </c>
      <c r="D34" s="37">
        <v>0.26</v>
      </c>
      <c r="E34" s="37">
        <v>0.56000000000000005</v>
      </c>
      <c r="F34" s="37">
        <v>0.77</v>
      </c>
      <c r="G34" s="37">
        <v>0.91</v>
      </c>
      <c r="H34" s="37">
        <v>1.05</v>
      </c>
      <c r="I34" s="37">
        <v>1.19</v>
      </c>
      <c r="J34" s="37">
        <v>1.33</v>
      </c>
      <c r="K34" s="37">
        <v>2.11</v>
      </c>
      <c r="L34" s="37">
        <v>3.32</v>
      </c>
      <c r="M34" s="37">
        <v>4.67</v>
      </c>
      <c r="N34" s="37">
        <v>9.9499999999999993</v>
      </c>
      <c r="O34" s="37">
        <v>9.9499999999999993</v>
      </c>
      <c r="P34" s="37">
        <v>9.9499999999999993</v>
      </c>
      <c r="Q34" s="2">
        <f>SUM(B35:P35)/Q29</f>
        <v>0.61630126953124997</v>
      </c>
    </row>
    <row r="35" spans="1:17" x14ac:dyDescent="0.4">
      <c r="A35" s="36" t="s">
        <v>58</v>
      </c>
      <c r="B35" s="36">
        <f t="shared" ref="B35:P35" si="14">B29*B34</f>
        <v>92.16</v>
      </c>
      <c r="C35" s="36">
        <f t="shared" si="14"/>
        <v>276.48</v>
      </c>
      <c r="D35" s="36">
        <f t="shared" si="14"/>
        <v>399.36</v>
      </c>
      <c r="E35" s="36">
        <f t="shared" si="14"/>
        <v>716.80000000000007</v>
      </c>
      <c r="F35" s="36">
        <f t="shared" si="14"/>
        <v>739.2</v>
      </c>
      <c r="G35" s="36">
        <f t="shared" si="14"/>
        <v>611.52</v>
      </c>
      <c r="H35" s="36">
        <f t="shared" si="14"/>
        <v>470.40000000000003</v>
      </c>
      <c r="I35" s="36">
        <f t="shared" si="14"/>
        <v>342.71999999999997</v>
      </c>
      <c r="J35" s="36">
        <f t="shared" si="14"/>
        <v>239.4</v>
      </c>
      <c r="K35" s="36">
        <f t="shared" si="14"/>
        <v>232.1</v>
      </c>
      <c r="L35" s="36">
        <f t="shared" si="14"/>
        <v>219.11999999999998</v>
      </c>
      <c r="M35" s="36">
        <f t="shared" si="14"/>
        <v>182.13</v>
      </c>
      <c r="N35" s="36">
        <f t="shared" si="14"/>
        <v>388.04999999999995</v>
      </c>
      <c r="O35" s="36">
        <f t="shared" si="14"/>
        <v>119.39999999999999</v>
      </c>
      <c r="P35" s="36">
        <f t="shared" si="14"/>
        <v>19.899999999999999</v>
      </c>
      <c r="Q35" s="3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48E8-5091-48F6-9C79-B24EF3F90156}">
  <dimension ref="A1:K16"/>
  <sheetViews>
    <sheetView workbookViewId="0">
      <selection activeCell="B16" sqref="B16"/>
    </sheetView>
  </sheetViews>
  <sheetFormatPr defaultRowHeight="13.9" x14ac:dyDescent="0.4"/>
  <cols>
    <col min="1" max="1" width="9.06640625" style="86"/>
    <col min="2" max="2" width="7.46484375" style="86" bestFit="1" customWidth="1"/>
    <col min="3" max="3" width="5.46484375" style="86" bestFit="1" customWidth="1"/>
    <col min="4" max="4" width="4.9296875" style="86" bestFit="1" customWidth="1"/>
    <col min="5" max="16384" width="9.06640625" style="86"/>
  </cols>
  <sheetData>
    <row r="1" spans="1:11" s="153" customFormat="1" ht="14.25" x14ac:dyDescent="0.4">
      <c r="A1" s="145" t="s">
        <v>78</v>
      </c>
      <c r="B1" s="133" t="s">
        <v>176</v>
      </c>
      <c r="C1" s="152" t="s">
        <v>177</v>
      </c>
      <c r="D1" s="86"/>
      <c r="H1" s="86"/>
      <c r="I1" s="86"/>
      <c r="J1" s="86"/>
      <c r="K1" s="86"/>
    </row>
    <row r="2" spans="1:11" ht="14.25" x14ac:dyDescent="0.4">
      <c r="A2" s="145" t="s">
        <v>9</v>
      </c>
      <c r="B2" s="154">
        <f>COMBIN(2,2)*E7^0*(1-E7)^(2+1)</f>
        <v>0.125</v>
      </c>
      <c r="C2" s="152">
        <v>0</v>
      </c>
      <c r="D2" s="156" t="s">
        <v>178</v>
      </c>
    </row>
    <row r="3" spans="1:11" x14ac:dyDescent="0.4">
      <c r="A3" s="145" t="s">
        <v>26</v>
      </c>
      <c r="B3" s="154">
        <f>COMBIN(3,2)*E7^1*(1-E7)^(2+1)</f>
        <v>0.1875</v>
      </c>
      <c r="C3" s="152">
        <v>0</v>
      </c>
    </row>
    <row r="4" spans="1:11" x14ac:dyDescent="0.4">
      <c r="A4" s="145" t="s">
        <v>28</v>
      </c>
      <c r="B4" s="154">
        <f>COMBIN(4,2)*E7^2*(1-E7)^(2+1)</f>
        <v>0.1875</v>
      </c>
      <c r="C4" s="152">
        <v>0</v>
      </c>
    </row>
    <row r="5" spans="1:11" x14ac:dyDescent="0.4">
      <c r="A5" s="145" t="s">
        <v>12</v>
      </c>
      <c r="B5" s="154">
        <f>COMBIN(5,2)*E7^3*(1-E7)^(2+1)</f>
        <v>0.15625</v>
      </c>
      <c r="C5" s="152">
        <v>0</v>
      </c>
    </row>
    <row r="6" spans="1:11" ht="14.25" x14ac:dyDescent="0.4">
      <c r="A6" s="145" t="s">
        <v>33</v>
      </c>
      <c r="B6" s="154">
        <f>COMBIN(6,2)*E7^4*(1-E7)^(2+1)</f>
        <v>0.1171875</v>
      </c>
      <c r="C6" s="152">
        <v>0</v>
      </c>
      <c r="E6" s="153" t="s">
        <v>152</v>
      </c>
      <c r="F6" s="86" t="s">
        <v>179</v>
      </c>
      <c r="G6" s="86" t="s">
        <v>180</v>
      </c>
    </row>
    <row r="7" spans="1:11" x14ac:dyDescent="0.4">
      <c r="A7" s="145" t="s">
        <v>36</v>
      </c>
      <c r="B7" s="154">
        <f>COMBIN(7,2)*E7^5*(1-E7)^(2+1)</f>
        <v>8.203125E-2</v>
      </c>
      <c r="C7" s="152">
        <v>0</v>
      </c>
      <c r="E7" s="109">
        <v>0.5</v>
      </c>
      <c r="F7" s="135">
        <f>SUMPRODUCT(B2:B16, C2:C16)</f>
        <v>9.3884277343750031E-3</v>
      </c>
      <c r="G7" s="138">
        <f>1/F7</f>
        <v>106.51410739825766</v>
      </c>
    </row>
    <row r="8" spans="1:11" ht="14.25" x14ac:dyDescent="0.4">
      <c r="A8" s="145" t="s">
        <v>39</v>
      </c>
      <c r="B8" s="154">
        <f>COMBIN(8,2)*E7^6*(1-E7)^(2+1)</f>
        <v>5.46875E-2</v>
      </c>
      <c r="C8" s="155">
        <v>0.05</v>
      </c>
      <c r="E8" s="156" t="s">
        <v>181</v>
      </c>
    </row>
    <row r="9" spans="1:11" x14ac:dyDescent="0.4">
      <c r="A9" s="145" t="s">
        <v>42</v>
      </c>
      <c r="B9" s="154">
        <f>COMBIN(9,2)*E7^7*(1-E7)^(2+1)</f>
        <v>3.515625E-2</v>
      </c>
      <c r="C9" s="155">
        <v>0.06</v>
      </c>
    </row>
    <row r="10" spans="1:11" x14ac:dyDescent="0.4">
      <c r="A10" s="145" t="s">
        <v>45</v>
      </c>
      <c r="B10" s="154">
        <f>COMBIN(10,2)*E7^8*(1-E7)^(2+1)</f>
        <v>2.197265625E-2</v>
      </c>
      <c r="C10" s="155">
        <v>7.0000000000000007E-2</v>
      </c>
    </row>
    <row r="11" spans="1:11" x14ac:dyDescent="0.4">
      <c r="A11" s="145" t="s">
        <v>48</v>
      </c>
      <c r="B11" s="154">
        <f>COMBIN(11,2)*E7^9*(1-E7)^(2+1)</f>
        <v>1.3427734375E-2</v>
      </c>
      <c r="C11" s="155">
        <v>0.08</v>
      </c>
    </row>
    <row r="12" spans="1:11" x14ac:dyDescent="0.4">
      <c r="A12" s="145" t="s">
        <v>51</v>
      </c>
      <c r="B12" s="154">
        <f>COMBIN(12,2)*E7^10*(1-E7)^(2+1)</f>
        <v>8.056640625E-3</v>
      </c>
      <c r="C12" s="155">
        <v>0.09</v>
      </c>
    </row>
    <row r="13" spans="1:11" x14ac:dyDescent="0.4">
      <c r="A13" s="145" t="s">
        <v>53</v>
      </c>
      <c r="B13" s="154">
        <f>COMBIN(13,2)*E7^11*(1-E7)^(2+1)</f>
        <v>4.7607421875E-3</v>
      </c>
      <c r="C13" s="155">
        <v>0.1</v>
      </c>
    </row>
    <row r="14" spans="1:11" ht="14.25" x14ac:dyDescent="0.4">
      <c r="A14" s="145" t="s">
        <v>2</v>
      </c>
      <c r="B14" s="154">
        <f>COMBIN(13,2)*E7^(11+1)*(1-E7)^(2)</f>
        <v>4.7607421875E-3</v>
      </c>
      <c r="C14" s="155">
        <v>0.11</v>
      </c>
      <c r="D14" s="156" t="s">
        <v>182</v>
      </c>
    </row>
    <row r="15" spans="1:11" x14ac:dyDescent="0.4">
      <c r="A15" s="145" t="s">
        <v>1</v>
      </c>
      <c r="B15" s="154">
        <f>COMBIN(12,1)*E7^(11+1)*(1-E7)^(1)</f>
        <v>1.46484375E-3</v>
      </c>
      <c r="C15" s="155">
        <v>0.12</v>
      </c>
    </row>
    <row r="16" spans="1:11" x14ac:dyDescent="0.4">
      <c r="A16" s="145" t="s">
        <v>23</v>
      </c>
      <c r="B16" s="154">
        <f>IF(E7=1, 1, IF(E7=0, 0, COMBIN(12,0)*E7^12*(1-E7)^0))</f>
        <v>2.44140625E-4</v>
      </c>
      <c r="C16" s="155">
        <v>0.13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zoomScale="70" zoomScaleNormal="70" workbookViewId="0">
      <selection sqref="A1:XFD1048576"/>
    </sheetView>
  </sheetViews>
  <sheetFormatPr defaultRowHeight="13.9" x14ac:dyDescent="0.4"/>
  <cols>
    <col min="1" max="1" width="16.73046875" style="86" bestFit="1" customWidth="1"/>
    <col min="2" max="3" width="10.1328125" style="86" customWidth="1"/>
    <col min="4" max="4" width="11.6640625" style="86" bestFit="1" customWidth="1"/>
    <col min="5" max="11" width="10.1328125" style="86" customWidth="1"/>
    <col min="12" max="16" width="11.6640625" style="86" customWidth="1"/>
    <col min="17" max="17" width="15.796875" style="86" customWidth="1"/>
    <col min="18" max="18" width="9.06640625" style="86"/>
    <col min="19" max="22" width="11.59765625" style="86" bestFit="1" customWidth="1"/>
    <col min="23" max="23" width="9.06640625" style="86"/>
    <col min="24" max="24" width="11.59765625" style="86" bestFit="1" customWidth="1"/>
    <col min="25" max="16384" width="9.06640625" style="86"/>
  </cols>
  <sheetData>
    <row r="1" spans="1:16" ht="21" thickTop="1" thickBot="1" x14ac:dyDescent="0.45">
      <c r="A1" s="157" t="s">
        <v>183</v>
      </c>
      <c r="B1" s="65" t="s">
        <v>9</v>
      </c>
      <c r="C1" s="66" t="s">
        <v>26</v>
      </c>
      <c r="D1" s="66" t="s">
        <v>28</v>
      </c>
      <c r="E1" s="66" t="s">
        <v>12</v>
      </c>
      <c r="F1" s="66" t="s">
        <v>33</v>
      </c>
      <c r="G1" s="66" t="s">
        <v>36</v>
      </c>
      <c r="H1" s="66" t="s">
        <v>39</v>
      </c>
      <c r="I1" s="66" t="s">
        <v>42</v>
      </c>
      <c r="J1" s="66" t="s">
        <v>45</v>
      </c>
      <c r="K1" s="66" t="s">
        <v>48</v>
      </c>
      <c r="L1" s="66" t="s">
        <v>51</v>
      </c>
      <c r="M1" s="66" t="s">
        <v>53</v>
      </c>
      <c r="N1" s="66" t="s">
        <v>2</v>
      </c>
      <c r="O1" s="66" t="s">
        <v>1</v>
      </c>
      <c r="P1" s="66" t="s">
        <v>0</v>
      </c>
    </row>
    <row r="2" spans="1:16" ht="21" thickTop="1" thickBot="1" x14ac:dyDescent="0.45">
      <c r="A2" s="157" t="s">
        <v>184</v>
      </c>
      <c r="B2" s="47">
        <f>0/(0+3)</f>
        <v>0</v>
      </c>
      <c r="C2" s="46">
        <f>1/(1+3)</f>
        <v>0.25</v>
      </c>
      <c r="D2" s="47">
        <f>2/(2+3)</f>
        <v>0.4</v>
      </c>
      <c r="E2" s="46">
        <f>3/(3+3)</f>
        <v>0.5</v>
      </c>
      <c r="F2" s="47">
        <f>4/(4+3)</f>
        <v>0.5714285714285714</v>
      </c>
      <c r="G2" s="46">
        <f>5/(5+3)</f>
        <v>0.625</v>
      </c>
      <c r="H2" s="47">
        <f>6/(6+3)</f>
        <v>0.66666666666666663</v>
      </c>
      <c r="I2" s="46">
        <f>7/(7+3)</f>
        <v>0.7</v>
      </c>
      <c r="J2" s="47">
        <f>8/(8+3)</f>
        <v>0.72727272727272729</v>
      </c>
      <c r="K2" s="46">
        <f>9/(9+3)</f>
        <v>0.75</v>
      </c>
      <c r="L2" s="47">
        <f>10/(10+3)</f>
        <v>0.76923076923076927</v>
      </c>
      <c r="M2" s="46">
        <f>11/(11+3)</f>
        <v>0.7857142857142857</v>
      </c>
      <c r="N2" s="49">
        <f>12/(12+2)</f>
        <v>0.8571428571428571</v>
      </c>
      <c r="O2" s="48">
        <f>12/(12+1)</f>
        <v>0.92307692307692313</v>
      </c>
      <c r="P2" s="49">
        <f>12/12</f>
        <v>1</v>
      </c>
    </row>
    <row r="3" spans="1:16" ht="21" thickTop="1" thickBot="1" x14ac:dyDescent="0.45">
      <c r="A3" s="157" t="s">
        <v>185</v>
      </c>
      <c r="B3" s="50"/>
      <c r="C3" s="43"/>
      <c r="D3" s="51">
        <v>62.5</v>
      </c>
      <c r="E3" s="51">
        <v>87.5</v>
      </c>
      <c r="F3" s="51">
        <v>130</v>
      </c>
      <c r="G3" s="43"/>
      <c r="H3" s="50"/>
      <c r="I3" s="43"/>
      <c r="J3" s="50"/>
      <c r="K3" s="43"/>
      <c r="L3" s="50"/>
      <c r="M3" s="43"/>
      <c r="N3" s="50"/>
      <c r="O3" s="43"/>
      <c r="P3" s="50"/>
    </row>
    <row r="4" spans="1:16" ht="21" thickTop="1" thickBot="1" x14ac:dyDescent="0.45">
      <c r="A4" s="157" t="s">
        <v>186</v>
      </c>
      <c r="B4" s="50">
        <v>2</v>
      </c>
      <c r="C4" s="45">
        <v>1</v>
      </c>
      <c r="D4" s="44">
        <v>1</v>
      </c>
      <c r="E4" s="45">
        <v>1</v>
      </c>
      <c r="F4" s="44">
        <v>1</v>
      </c>
      <c r="G4" s="45">
        <v>1</v>
      </c>
      <c r="H4" s="44">
        <v>1</v>
      </c>
      <c r="I4" s="43"/>
      <c r="J4" s="44">
        <v>1</v>
      </c>
      <c r="K4" s="45">
        <v>1</v>
      </c>
      <c r="L4" s="44">
        <v>1</v>
      </c>
      <c r="M4" s="45">
        <v>1</v>
      </c>
      <c r="N4" s="50"/>
      <c r="O4" s="43"/>
      <c r="P4" s="50"/>
    </row>
    <row r="5" spans="1:16" ht="21" thickTop="1" thickBot="1" x14ac:dyDescent="0.45">
      <c r="A5" s="157" t="s">
        <v>187</v>
      </c>
      <c r="B5" s="50"/>
      <c r="C5" s="43"/>
      <c r="D5" s="50"/>
      <c r="E5" s="43"/>
      <c r="F5" s="50"/>
      <c r="G5" s="51">
        <v>1</v>
      </c>
      <c r="H5" s="51">
        <v>1</v>
      </c>
      <c r="I5" s="51">
        <v>2</v>
      </c>
      <c r="J5" s="51">
        <v>2</v>
      </c>
      <c r="K5" s="51">
        <v>2</v>
      </c>
      <c r="L5" s="51">
        <v>3</v>
      </c>
      <c r="M5" s="51">
        <v>3</v>
      </c>
      <c r="N5" s="51">
        <v>4</v>
      </c>
      <c r="O5" s="51">
        <v>4</v>
      </c>
      <c r="P5" s="51">
        <v>4</v>
      </c>
    </row>
    <row r="6" spans="1:16" ht="21" thickTop="1" thickBot="1" x14ac:dyDescent="0.45">
      <c r="A6" s="157" t="s">
        <v>188</v>
      </c>
      <c r="B6" s="50"/>
      <c r="C6" s="43"/>
      <c r="D6" s="43"/>
      <c r="E6" s="43"/>
      <c r="F6" s="50"/>
      <c r="G6" s="43"/>
      <c r="H6" s="50"/>
      <c r="I6" s="43"/>
      <c r="J6" s="50"/>
      <c r="K6" s="43"/>
      <c r="L6" s="50"/>
      <c r="M6" s="43"/>
      <c r="N6" s="44">
        <v>2</v>
      </c>
      <c r="O6" s="45">
        <v>2</v>
      </c>
      <c r="P6" s="44">
        <v>2</v>
      </c>
    </row>
    <row r="7" spans="1:16" ht="21.4" thickTop="1" thickBot="1" x14ac:dyDescent="0.45">
      <c r="A7" s="157" t="s">
        <v>189</v>
      </c>
      <c r="B7" s="73"/>
      <c r="C7" s="51">
        <v>50</v>
      </c>
      <c r="D7" s="44"/>
      <c r="E7" s="45"/>
      <c r="F7" s="44"/>
      <c r="G7" s="51">
        <v>62.5</v>
      </c>
      <c r="H7" s="51">
        <v>237.5</v>
      </c>
      <c r="I7" s="51">
        <v>112.5</v>
      </c>
      <c r="J7" s="51">
        <v>137.5</v>
      </c>
      <c r="K7" s="51">
        <v>262.5</v>
      </c>
      <c r="L7" s="51">
        <v>162.5</v>
      </c>
      <c r="M7" s="51">
        <v>400</v>
      </c>
      <c r="N7" s="51">
        <v>275</v>
      </c>
      <c r="O7" s="51">
        <v>312.5</v>
      </c>
      <c r="P7" s="51">
        <v>337.5</v>
      </c>
    </row>
    <row r="8" spans="1:16" ht="21.4" thickTop="1" thickBot="1" x14ac:dyDescent="0.45">
      <c r="A8" s="157" t="s">
        <v>190</v>
      </c>
      <c r="B8" s="73"/>
      <c r="C8" s="45"/>
      <c r="D8" s="44">
        <v>1</v>
      </c>
      <c r="E8" s="45">
        <v>1</v>
      </c>
      <c r="F8" s="44">
        <v>1</v>
      </c>
      <c r="G8" s="45"/>
      <c r="H8" s="44"/>
      <c r="I8" s="45"/>
      <c r="J8" s="44"/>
      <c r="K8" s="45"/>
      <c r="L8" s="44"/>
      <c r="M8" s="45"/>
      <c r="N8" s="44"/>
      <c r="O8" s="45"/>
      <c r="P8" s="44"/>
    </row>
    <row r="9" spans="1:16" ht="21.4" thickTop="1" thickBot="1" x14ac:dyDescent="0.45">
      <c r="A9" s="157" t="s">
        <v>191</v>
      </c>
      <c r="B9" s="73"/>
      <c r="C9" s="45">
        <v>1</v>
      </c>
      <c r="D9" s="44">
        <v>1</v>
      </c>
      <c r="E9" s="45">
        <v>1</v>
      </c>
      <c r="F9" s="44">
        <v>1</v>
      </c>
      <c r="G9" s="45">
        <v>1</v>
      </c>
      <c r="H9" s="44">
        <v>1</v>
      </c>
      <c r="I9" s="45">
        <v>1</v>
      </c>
      <c r="J9" s="44">
        <v>1</v>
      </c>
      <c r="K9" s="45">
        <v>1</v>
      </c>
      <c r="L9" s="44">
        <v>2</v>
      </c>
      <c r="M9" s="45">
        <v>2</v>
      </c>
      <c r="N9" s="44">
        <v>3</v>
      </c>
      <c r="O9" s="45">
        <v>3</v>
      </c>
      <c r="P9" s="44">
        <v>3</v>
      </c>
    </row>
    <row r="10" spans="1:16" ht="21.4" thickTop="1" thickBot="1" x14ac:dyDescent="0.45">
      <c r="A10" s="157" t="s">
        <v>192</v>
      </c>
      <c r="B10" s="74">
        <v>0</v>
      </c>
      <c r="C10" s="56">
        <v>0</v>
      </c>
      <c r="D10" s="55">
        <v>0</v>
      </c>
      <c r="E10" s="56">
        <v>0</v>
      </c>
      <c r="F10" s="55">
        <v>0</v>
      </c>
      <c r="G10" s="56">
        <v>0</v>
      </c>
      <c r="H10" s="75">
        <v>0.05</v>
      </c>
      <c r="I10" s="75">
        <v>0.06</v>
      </c>
      <c r="J10" s="75">
        <v>7.0000000000000007E-2</v>
      </c>
      <c r="K10" s="75">
        <v>0.08</v>
      </c>
      <c r="L10" s="75">
        <v>0.09</v>
      </c>
      <c r="M10" s="75">
        <v>0.1</v>
      </c>
      <c r="N10" s="75">
        <v>0.11</v>
      </c>
      <c r="O10" s="75">
        <v>0.12</v>
      </c>
      <c r="P10" s="75">
        <v>0.13</v>
      </c>
    </row>
    <row r="11" spans="1:16" ht="21.4" thickTop="1" thickBot="1" x14ac:dyDescent="0.45">
      <c r="A11" s="157" t="s">
        <v>193</v>
      </c>
      <c r="B11" s="76">
        <f>B3*1.32+B4*115.69+B5*198+B6*528+0.5*B7*1.32+0.5*B8*115.69+0.5*B9*115.69+B10*1000*1.32</f>
        <v>231.38</v>
      </c>
      <c r="C11" s="82">
        <f>C3*1.32+C4*115.69+C5*198+C6*528+0.5*C7*1.32+0.5*C8*115.69+0.5*C9*115.69+C10*1000*1.32</f>
        <v>206.535</v>
      </c>
      <c r="D11" s="76">
        <f>D3*1.32+D4*115.69+D5*198+D6*528+0.5*D7*1.32+0.5*D8*115.69+0.5*D9*115.69+D10*1000*1.32</f>
        <v>313.88</v>
      </c>
      <c r="E11" s="82">
        <f>E3*1.32+E4*115.69+E5*198+E6*528+0.5*E7*1.32+0.5*E8*115.69+0.5*E9*115.69+E10*1000*1.32</f>
        <v>346.88</v>
      </c>
      <c r="F11" s="76">
        <f>F3*1.32+F4*115.69+F5*198+F6*528+0.5*F7*1.32+0.5*F8*115.69+0.5*F9*115.69+F10*1000*1.32</f>
        <v>402.98</v>
      </c>
      <c r="G11" s="82">
        <f>G3*1.32+G4*115.69+G5*198+G6*528+0.5*G7*1.32+0.5*G8*115.69+0.5*G9*115.69+G10*1000*1.32</f>
        <v>412.78499999999997</v>
      </c>
      <c r="H11" s="76">
        <f>H3*1.32+H4*115.69+H5*198+H6*528+0.5*H7*1.32+0.5*H8*115.69+0.5*H9*115.69+H10*1000*1.32</f>
        <v>594.28499999999997</v>
      </c>
      <c r="I11" s="82">
        <f>I3*1.32+I4*115.69+I5*198+I6*528+0.5*I7*1.32+0.5*I8*115.69+0.5*I9*115.69+I10*1000*1.32</f>
        <v>607.29500000000007</v>
      </c>
      <c r="J11" s="76">
        <f>J3*1.32+J4*115.69+J5*198+J6*528+0.5*J7*1.32+0.5*J8*115.69+0.5*J9*115.69+J10*1000*1.32</f>
        <v>752.68500000000006</v>
      </c>
      <c r="K11" s="82">
        <f>K3*1.32+K4*115.69+K5*198+K6*528+0.5*K7*1.32+0.5*K8*115.69+0.5*K9*115.69+K10*1000*1.32</f>
        <v>848.3850000000001</v>
      </c>
      <c r="L11" s="76">
        <f>L3*1.32+L4*115.69+L5*198+L6*528+0.5*L7*1.32+0.5*L8*115.69+0.5*L9*115.69+L10*1000*1.32</f>
        <v>1051.43</v>
      </c>
      <c r="M11" s="82">
        <f>M3*1.32+M4*115.69+M5*198+M6*528+0.5*M7*1.32+0.5*M8*115.69+0.5*M9*115.69+M10*1000*1.32</f>
        <v>1221.3800000000001</v>
      </c>
      <c r="N11" s="76">
        <f>N3*1.32+N4*115.69+N5*198+N6*528+0.5*N7*1.32+0.5*N8*115.69+0.5*N9*115.69+N10*1000*1.32</f>
        <v>2348.2349999999997</v>
      </c>
      <c r="O11" s="82">
        <f>O3*1.32+O4*115.69+O5*198+O6*528+0.5*O7*1.32+0.5*O8*115.69+0.5*O9*115.69+O10*1000*1.32</f>
        <v>2386.1849999999999</v>
      </c>
      <c r="P11" s="76">
        <f>P3*1.32+P4*115.69+P5*198+P6*528+0.5*P7*1.32+0.5*P8*115.69+0.5*P9*115.69+P10*1000*1.32</f>
        <v>2415.8849999999998</v>
      </c>
    </row>
    <row r="12" spans="1:16" ht="21" thickTop="1" thickBot="1" x14ac:dyDescent="0.45">
      <c r="A12" s="157" t="s">
        <v>194</v>
      </c>
      <c r="B12" s="77">
        <f>B11/198/2</f>
        <v>0.58429292929292931</v>
      </c>
      <c r="C12" s="78">
        <f>C11/198/2</f>
        <v>0.52155303030303024</v>
      </c>
      <c r="D12" s="77">
        <f>D11/198/2</f>
        <v>0.79262626262626257</v>
      </c>
      <c r="E12" s="78">
        <f>E11/198/2</f>
        <v>0.87595959595959594</v>
      </c>
      <c r="F12" s="79">
        <f>F11/198/2</f>
        <v>1.0176262626262627</v>
      </c>
      <c r="G12" s="78">
        <f>G11/198/2</f>
        <v>1.0423863636363635</v>
      </c>
      <c r="H12" s="77">
        <f>H11/198/2</f>
        <v>1.500719696969697</v>
      </c>
      <c r="I12" s="78">
        <f>I11/198/2</f>
        <v>1.5335732323232325</v>
      </c>
      <c r="J12" s="77">
        <f>J11/198/2</f>
        <v>1.9007196969696971</v>
      </c>
      <c r="K12" s="78">
        <f>K11/198/2</f>
        <v>2.1423863636363638</v>
      </c>
      <c r="L12" s="77">
        <f>L11/198/2</f>
        <v>2.6551262626262626</v>
      </c>
      <c r="M12" s="78">
        <f>M11/198/2</f>
        <v>3.0842929292929298</v>
      </c>
      <c r="N12" s="77">
        <f>N11/198/2</f>
        <v>5.9298863636363626</v>
      </c>
      <c r="O12" s="78">
        <f>O11/198/2</f>
        <v>6.0257196969696967</v>
      </c>
      <c r="P12" s="77">
        <f>P11/198/2</f>
        <v>6.100719696969696</v>
      </c>
    </row>
    <row r="13" spans="1:16" ht="21" thickTop="1" thickBot="1" x14ac:dyDescent="0.45">
      <c r="A13" s="157" t="s">
        <v>195</v>
      </c>
      <c r="B13" s="73">
        <f>(B3+0.5*B7+1000*B10)+B5*150</f>
        <v>0</v>
      </c>
      <c r="C13" s="52">
        <f>(C3+0.5*C7+1000*C10)+C5*150</f>
        <v>25</v>
      </c>
      <c r="D13" s="73">
        <f>(D3+0.5*D7+1000*D10)+D5*150</f>
        <v>62.5</v>
      </c>
      <c r="E13" s="52">
        <f>(E3+0.5*E7+1000*E10)+E5*150</f>
        <v>87.5</v>
      </c>
      <c r="F13" s="73">
        <f>(F3+0.5*F7+1000*F10)+F5*150</f>
        <v>130</v>
      </c>
      <c r="G13" s="52">
        <f>(G3+0.5*G7+1000*G10)+G5*150</f>
        <v>181.25</v>
      </c>
      <c r="H13" s="80">
        <f>(H3+0.5*H7+1000*H10)+H5*150</f>
        <v>318.75</v>
      </c>
      <c r="I13" s="52">
        <f>(I3+0.5*I7+1000*I10)+I5*150</f>
        <v>416.25</v>
      </c>
      <c r="J13" s="73">
        <f>(J3+0.5*J7+1000*J10)+J5*150</f>
        <v>438.75</v>
      </c>
      <c r="K13" s="52">
        <f>(K3+0.5*K7+1000*K10)+K5*150</f>
        <v>511.25</v>
      </c>
      <c r="L13" s="73">
        <f>(L3+0.5*L7+1000*L10)+L5*150</f>
        <v>621.25</v>
      </c>
      <c r="M13" s="52">
        <f>(M3+0.5*M7+1000*M10)+M5*150</f>
        <v>750</v>
      </c>
      <c r="N13" s="73">
        <f>(N3+0.5*N7+1000*N10)+N5*150</f>
        <v>847.5</v>
      </c>
      <c r="O13" s="52">
        <f>(O3+0.5*O7+1000*O10)+O5*150</f>
        <v>876.25</v>
      </c>
      <c r="P13" s="73">
        <f>(P3+0.5*P7+1000*P10)+P5*150</f>
        <v>898.75</v>
      </c>
    </row>
    <row r="14" spans="1:16" ht="21" thickTop="1" thickBot="1" x14ac:dyDescent="0.45">
      <c r="A14" s="157" t="s">
        <v>196</v>
      </c>
      <c r="B14" s="72">
        <f>B13/300</f>
        <v>0</v>
      </c>
      <c r="C14" s="81">
        <f>C13/300</f>
        <v>8.3333333333333329E-2</v>
      </c>
      <c r="D14" s="72">
        <f>D13/300</f>
        <v>0.20833333333333334</v>
      </c>
      <c r="E14" s="81">
        <f>E13/300</f>
        <v>0.29166666666666669</v>
      </c>
      <c r="F14" s="72">
        <f>F13/300</f>
        <v>0.43333333333333335</v>
      </c>
      <c r="G14" s="81">
        <f>G13/300</f>
        <v>0.60416666666666663</v>
      </c>
      <c r="H14" s="70">
        <f>H13/300</f>
        <v>1.0625</v>
      </c>
      <c r="I14" s="81">
        <f>I13/300</f>
        <v>1.3875</v>
      </c>
      <c r="J14" s="72">
        <f>J13/300</f>
        <v>1.4624999999999999</v>
      </c>
      <c r="K14" s="81">
        <f>K13/300</f>
        <v>1.7041666666666666</v>
      </c>
      <c r="L14" s="72">
        <f>L13/300</f>
        <v>2.0708333333333333</v>
      </c>
      <c r="M14" s="81">
        <f>M13/300</f>
        <v>2.5</v>
      </c>
      <c r="N14" s="72">
        <f>N13/300</f>
        <v>2.8250000000000002</v>
      </c>
      <c r="O14" s="81">
        <f>O13/300</f>
        <v>2.9208333333333334</v>
      </c>
      <c r="P14" s="72">
        <f>P13/300</f>
        <v>2.9958333333333331</v>
      </c>
    </row>
    <row r="15" spans="1:16" ht="21" thickTop="1" thickBot="1" x14ac:dyDescent="0.45">
      <c r="A15" s="157" t="s">
        <v>197</v>
      </c>
      <c r="B15" s="73">
        <f>(B3+0.5*B7)+B5*150</f>
        <v>0</v>
      </c>
      <c r="C15" s="52">
        <f>(C3+0.5*C7)+C5*150</f>
        <v>25</v>
      </c>
      <c r="D15" s="73">
        <f>(D3+0.5*D7)+D5*150</f>
        <v>62.5</v>
      </c>
      <c r="E15" s="52">
        <f>(E3+0.5*E7)+E5*150</f>
        <v>87.5</v>
      </c>
      <c r="F15" s="73">
        <f>(F3+0.5*F7)+F5*150</f>
        <v>130</v>
      </c>
      <c r="G15" s="52">
        <f>(G3+0.5*G7)+G5*150</f>
        <v>181.25</v>
      </c>
      <c r="H15" s="73">
        <f>(H3+0.5*H7)+H5*150</f>
        <v>268.75</v>
      </c>
      <c r="I15" s="80">
        <f>(I3+0.5*I7)+I5*150</f>
        <v>356.25</v>
      </c>
      <c r="J15" s="73">
        <f>(J3+0.5*J7)+J5*150</f>
        <v>368.75</v>
      </c>
      <c r="K15" s="52">
        <f>(K3+0.5*K7)+K5*150</f>
        <v>431.25</v>
      </c>
      <c r="L15" s="73">
        <f>(L3+0.5*L7)+L5*150</f>
        <v>531.25</v>
      </c>
      <c r="M15" s="52">
        <f>(M3+0.5*M7)+M5*150</f>
        <v>650</v>
      </c>
      <c r="N15" s="73">
        <f>(N3+0.5*N7)+N5*150</f>
        <v>737.5</v>
      </c>
      <c r="O15" s="52">
        <f>(O3+0.5*O7)+O5*150</f>
        <v>756.25</v>
      </c>
      <c r="P15" s="73">
        <f>(P3+0.5*P7)+P5*150</f>
        <v>768.75</v>
      </c>
    </row>
    <row r="16" spans="1:16" ht="21" thickTop="1" thickBot="1" x14ac:dyDescent="0.45">
      <c r="A16" s="157" t="s">
        <v>198</v>
      </c>
      <c r="B16" s="72">
        <f>B15/300</f>
        <v>0</v>
      </c>
      <c r="C16" s="81">
        <f>C15/300</f>
        <v>8.3333333333333329E-2</v>
      </c>
      <c r="D16" s="72">
        <f>D15/300</f>
        <v>0.20833333333333334</v>
      </c>
      <c r="E16" s="81">
        <f>E15/300</f>
        <v>0.29166666666666669</v>
      </c>
      <c r="F16" s="72">
        <f>F15/300</f>
        <v>0.43333333333333335</v>
      </c>
      <c r="G16" s="81">
        <f>G15/300</f>
        <v>0.60416666666666663</v>
      </c>
      <c r="H16" s="72">
        <f>H15/300</f>
        <v>0.89583333333333337</v>
      </c>
      <c r="I16" s="70">
        <f>I15/300</f>
        <v>1.1875</v>
      </c>
      <c r="J16" s="72">
        <f>J15/300</f>
        <v>1.2291666666666667</v>
      </c>
      <c r="K16" s="81">
        <f>K15/300</f>
        <v>1.4375</v>
      </c>
      <c r="L16" s="72">
        <f>L15/300</f>
        <v>1.7708333333333333</v>
      </c>
      <c r="M16" s="81">
        <f>M15/300</f>
        <v>2.1666666666666665</v>
      </c>
      <c r="N16" s="72">
        <f>N15/300</f>
        <v>2.4583333333333335</v>
      </c>
      <c r="O16" s="81">
        <f>O15/300</f>
        <v>2.5208333333333335</v>
      </c>
      <c r="P16" s="72">
        <f>P15/300</f>
        <v>2.5625</v>
      </c>
    </row>
    <row r="17" spans="1:5" ht="14.25" thickTop="1" x14ac:dyDescent="0.4"/>
    <row r="18" spans="1:5" x14ac:dyDescent="0.4">
      <c r="A18" s="158" t="s">
        <v>199</v>
      </c>
      <c r="B18" s="159" t="s">
        <v>200</v>
      </c>
      <c r="C18" s="159" t="s">
        <v>201</v>
      </c>
      <c r="D18" s="159" t="s">
        <v>202</v>
      </c>
      <c r="E18" s="160" t="s">
        <v>96</v>
      </c>
    </row>
    <row r="19" spans="1:5" x14ac:dyDescent="0.4">
      <c r="A19" s="159" t="s">
        <v>9</v>
      </c>
      <c r="B19" s="158" t="s">
        <v>203</v>
      </c>
      <c r="C19" s="158" t="s">
        <v>117</v>
      </c>
      <c r="D19" s="158" t="s">
        <v>117</v>
      </c>
      <c r="E19" s="158" t="s">
        <v>117</v>
      </c>
    </row>
    <row r="20" spans="1:5" x14ac:dyDescent="0.4">
      <c r="A20" s="159" t="s">
        <v>26</v>
      </c>
      <c r="B20" s="158" t="s">
        <v>204</v>
      </c>
      <c r="C20" s="158" t="s">
        <v>205</v>
      </c>
      <c r="D20" s="158" t="s">
        <v>206</v>
      </c>
      <c r="E20" s="158" t="s">
        <v>117</v>
      </c>
    </row>
    <row r="21" spans="1:5" x14ac:dyDescent="0.4">
      <c r="A21" s="159" t="s">
        <v>28</v>
      </c>
      <c r="B21" s="158" t="s">
        <v>207</v>
      </c>
      <c r="C21" s="158" t="s">
        <v>206</v>
      </c>
      <c r="D21" s="158" t="s">
        <v>204</v>
      </c>
      <c r="E21" s="158" t="s">
        <v>117</v>
      </c>
    </row>
    <row r="22" spans="1:5" x14ac:dyDescent="0.4">
      <c r="A22" s="159" t="s">
        <v>12</v>
      </c>
      <c r="B22" s="158" t="s">
        <v>208</v>
      </c>
      <c r="C22" s="158" t="s">
        <v>206</v>
      </c>
      <c r="D22" s="158" t="s">
        <v>204</v>
      </c>
      <c r="E22" s="158" t="s">
        <v>117</v>
      </c>
    </row>
    <row r="23" spans="1:5" x14ac:dyDescent="0.4">
      <c r="A23" s="159" t="s">
        <v>33</v>
      </c>
      <c r="B23" s="158" t="s">
        <v>209</v>
      </c>
      <c r="C23" s="158" t="s">
        <v>206</v>
      </c>
      <c r="D23" s="158" t="s">
        <v>204</v>
      </c>
      <c r="E23" s="158" t="s">
        <v>117</v>
      </c>
    </row>
    <row r="24" spans="1:5" x14ac:dyDescent="0.4">
      <c r="A24" s="159" t="s">
        <v>36</v>
      </c>
      <c r="B24" s="158" t="s">
        <v>210</v>
      </c>
      <c r="C24" s="158" t="s">
        <v>211</v>
      </c>
      <c r="D24" s="158" t="s">
        <v>206</v>
      </c>
      <c r="E24" s="158" t="s">
        <v>117</v>
      </c>
    </row>
    <row r="25" spans="1:5" x14ac:dyDescent="0.4">
      <c r="A25" s="159" t="s">
        <v>39</v>
      </c>
      <c r="B25" s="158" t="s">
        <v>210</v>
      </c>
      <c r="C25" s="158" t="s">
        <v>212</v>
      </c>
      <c r="D25" s="158" t="s">
        <v>206</v>
      </c>
      <c r="E25" s="161">
        <v>0.05</v>
      </c>
    </row>
    <row r="26" spans="1:5" x14ac:dyDescent="0.4">
      <c r="A26" s="159" t="s">
        <v>42</v>
      </c>
      <c r="B26" s="158" t="s">
        <v>213</v>
      </c>
      <c r="C26" s="158" t="s">
        <v>214</v>
      </c>
      <c r="D26" s="158" t="s">
        <v>206</v>
      </c>
      <c r="E26" s="161">
        <v>0.06</v>
      </c>
    </row>
    <row r="27" spans="1:5" x14ac:dyDescent="0.4">
      <c r="A27" s="159" t="s">
        <v>45</v>
      </c>
      <c r="B27" s="158" t="s">
        <v>215</v>
      </c>
      <c r="C27" s="158" t="s">
        <v>216</v>
      </c>
      <c r="D27" s="158" t="s">
        <v>206</v>
      </c>
      <c r="E27" s="161">
        <v>7.0000000000000007E-2</v>
      </c>
    </row>
    <row r="28" spans="1:5" x14ac:dyDescent="0.4">
      <c r="A28" s="159" t="s">
        <v>48</v>
      </c>
      <c r="B28" s="158" t="s">
        <v>215</v>
      </c>
      <c r="C28" s="158" t="s">
        <v>217</v>
      </c>
      <c r="D28" s="158" t="s">
        <v>206</v>
      </c>
      <c r="E28" s="161">
        <v>0.08</v>
      </c>
    </row>
    <row r="29" spans="1:5" x14ac:dyDescent="0.4">
      <c r="A29" s="159" t="s">
        <v>51</v>
      </c>
      <c r="B29" s="158" t="s">
        <v>218</v>
      </c>
      <c r="C29" s="158" t="s">
        <v>219</v>
      </c>
      <c r="D29" s="158" t="s">
        <v>220</v>
      </c>
      <c r="E29" s="161">
        <v>0.09</v>
      </c>
    </row>
    <row r="30" spans="1:5" x14ac:dyDescent="0.4">
      <c r="A30" s="159" t="s">
        <v>53</v>
      </c>
      <c r="B30" s="158" t="s">
        <v>218</v>
      </c>
      <c r="C30" s="158" t="s">
        <v>221</v>
      </c>
      <c r="D30" s="158" t="s">
        <v>220</v>
      </c>
      <c r="E30" s="161">
        <v>0.1</v>
      </c>
    </row>
    <row r="31" spans="1:5" x14ac:dyDescent="0.4">
      <c r="A31" s="159" t="s">
        <v>2</v>
      </c>
      <c r="B31" s="158" t="s">
        <v>222</v>
      </c>
      <c r="C31" s="158" t="s">
        <v>223</v>
      </c>
      <c r="D31" s="158" t="s">
        <v>224</v>
      </c>
      <c r="E31" s="161">
        <v>0.11</v>
      </c>
    </row>
    <row r="32" spans="1:5" x14ac:dyDescent="0.4">
      <c r="A32" s="159" t="s">
        <v>1</v>
      </c>
      <c r="B32" s="158" t="s">
        <v>222</v>
      </c>
      <c r="C32" s="158" t="s">
        <v>225</v>
      </c>
      <c r="D32" s="158" t="s">
        <v>224</v>
      </c>
      <c r="E32" s="161">
        <v>0.12</v>
      </c>
    </row>
    <row r="33" spans="1:5" x14ac:dyDescent="0.4">
      <c r="A33" s="159" t="s">
        <v>0</v>
      </c>
      <c r="B33" s="158" t="s">
        <v>222</v>
      </c>
      <c r="C33" s="158" t="s">
        <v>226</v>
      </c>
      <c r="D33" s="158" t="s">
        <v>224</v>
      </c>
      <c r="E33" s="161">
        <v>0.13</v>
      </c>
    </row>
    <row r="34" spans="1:5" x14ac:dyDescent="0.4">
      <c r="A34" s="156" t="s">
        <v>121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BF09-6D85-495F-8035-392D1D985B72}">
  <dimension ref="A1:Q33"/>
  <sheetViews>
    <sheetView zoomScale="70" zoomScaleNormal="70" workbookViewId="0">
      <selection sqref="A1:XFD1048576"/>
    </sheetView>
  </sheetViews>
  <sheetFormatPr defaultRowHeight="20.25" x14ac:dyDescent="0.55000000000000004"/>
  <cols>
    <col min="1" max="1" width="16.73046875" style="162" bestFit="1" customWidth="1"/>
    <col min="2" max="2" width="9.796875" style="162" customWidth="1"/>
    <col min="3" max="3" width="9.59765625" style="162" customWidth="1"/>
    <col min="4" max="4" width="9.6640625" style="162" customWidth="1"/>
    <col min="5" max="9" width="10.1328125" style="162" bestFit="1" customWidth="1"/>
    <col min="10" max="13" width="11.6640625" style="162" bestFit="1" customWidth="1"/>
    <col min="14" max="14" width="13.265625" style="162" bestFit="1" customWidth="1"/>
    <col min="15" max="15" width="14.796875" style="162" bestFit="1" customWidth="1"/>
    <col min="16" max="16" width="13.265625" style="162" bestFit="1" customWidth="1"/>
    <col min="17" max="17" width="12.46484375" style="162" customWidth="1"/>
    <col min="18" max="22" width="9.06640625" style="162"/>
    <col min="23" max="23" width="8.53125" style="162" bestFit="1" customWidth="1"/>
    <col min="24" max="31" width="10.6640625" style="162" bestFit="1" customWidth="1"/>
    <col min="32" max="35" width="12.33203125" style="162" bestFit="1" customWidth="1"/>
    <col min="36" max="36" width="14.1328125" style="162" bestFit="1" customWidth="1"/>
    <col min="37" max="37" width="15.86328125" style="162" bestFit="1" customWidth="1"/>
    <col min="38" max="38" width="14.1328125" style="162" bestFit="1" customWidth="1"/>
    <col min="39" max="16384" width="9.06640625" style="162"/>
  </cols>
  <sheetData>
    <row r="1" spans="1:17" ht="21" thickTop="1" thickBot="1" x14ac:dyDescent="0.6">
      <c r="A1" s="157" t="s">
        <v>183</v>
      </c>
      <c r="B1" s="65" t="s">
        <v>9</v>
      </c>
      <c r="C1" s="66" t="s">
        <v>26</v>
      </c>
      <c r="D1" s="66" t="s">
        <v>28</v>
      </c>
      <c r="E1" s="66" t="s">
        <v>12</v>
      </c>
      <c r="F1" s="66" t="s">
        <v>33</v>
      </c>
      <c r="G1" s="66" t="s">
        <v>36</v>
      </c>
      <c r="H1" s="66" t="s">
        <v>39</v>
      </c>
      <c r="I1" s="66" t="s">
        <v>42</v>
      </c>
      <c r="J1" s="66" t="s">
        <v>45</v>
      </c>
      <c r="K1" s="66" t="s">
        <v>48</v>
      </c>
      <c r="L1" s="66" t="s">
        <v>51</v>
      </c>
      <c r="M1" s="66" t="s">
        <v>53</v>
      </c>
      <c r="N1" s="66" t="s">
        <v>2</v>
      </c>
      <c r="O1" s="66" t="s">
        <v>1</v>
      </c>
      <c r="P1" s="66" t="s">
        <v>0</v>
      </c>
    </row>
    <row r="2" spans="1:17" ht="21" thickTop="1" thickBot="1" x14ac:dyDescent="0.6">
      <c r="A2" s="157" t="s">
        <v>184</v>
      </c>
      <c r="B2" s="46">
        <f>0/(0+3)</f>
        <v>0</v>
      </c>
      <c r="C2" s="47">
        <f>1/(1+3)</f>
        <v>0.25</v>
      </c>
      <c r="D2" s="46">
        <f>2/(2+3)</f>
        <v>0.4</v>
      </c>
      <c r="E2" s="47">
        <f>3/(3+3)</f>
        <v>0.5</v>
      </c>
      <c r="F2" s="46">
        <f>4/(4+3)</f>
        <v>0.5714285714285714</v>
      </c>
      <c r="G2" s="47">
        <f>5/(5+3)</f>
        <v>0.625</v>
      </c>
      <c r="H2" s="46">
        <f>6/(6+3)</f>
        <v>0.66666666666666663</v>
      </c>
      <c r="I2" s="47">
        <f>7/(7+3)</f>
        <v>0.7</v>
      </c>
      <c r="J2" s="46">
        <f>8/(8+3)</f>
        <v>0.72727272727272729</v>
      </c>
      <c r="K2" s="47">
        <f>9/(9+3)</f>
        <v>0.75</v>
      </c>
      <c r="L2" s="46">
        <f>10/(10+3)</f>
        <v>0.76923076923076927</v>
      </c>
      <c r="M2" s="47">
        <f>11/(11+3)</f>
        <v>0.7857142857142857</v>
      </c>
      <c r="N2" s="48">
        <f>12/(12+2)</f>
        <v>0.8571428571428571</v>
      </c>
      <c r="O2" s="49">
        <f>12/(12+1)</f>
        <v>0.92307692307692313</v>
      </c>
      <c r="P2" s="48">
        <f>12/12</f>
        <v>1</v>
      </c>
    </row>
    <row r="3" spans="1:17" ht="21" thickTop="1" thickBot="1" x14ac:dyDescent="0.6">
      <c r="A3" s="157" t="s">
        <v>185</v>
      </c>
      <c r="B3" s="43"/>
      <c r="C3" s="50"/>
      <c r="D3" s="51">
        <v>35</v>
      </c>
      <c r="E3" s="51">
        <v>62.5</v>
      </c>
      <c r="F3" s="51">
        <v>105</v>
      </c>
      <c r="G3" s="50"/>
      <c r="H3" s="43"/>
      <c r="I3" s="50"/>
      <c r="J3" s="43"/>
      <c r="K3" s="50"/>
      <c r="L3" s="43"/>
      <c r="M3" s="50"/>
      <c r="N3" s="43"/>
      <c r="O3" s="50"/>
      <c r="P3" s="43"/>
    </row>
    <row r="4" spans="1:17" ht="21" thickTop="1" thickBot="1" x14ac:dyDescent="0.6">
      <c r="A4" s="157" t="s">
        <v>186</v>
      </c>
      <c r="B4" s="43">
        <v>2</v>
      </c>
      <c r="C4" s="44">
        <v>1</v>
      </c>
      <c r="D4" s="45">
        <v>1</v>
      </c>
      <c r="E4" s="44">
        <v>1</v>
      </c>
      <c r="F4" s="45">
        <v>1</v>
      </c>
      <c r="G4" s="44">
        <v>2</v>
      </c>
      <c r="H4" s="45">
        <v>2</v>
      </c>
      <c r="I4" s="50">
        <v>2</v>
      </c>
      <c r="J4" s="45">
        <v>3</v>
      </c>
      <c r="K4" s="44">
        <v>3</v>
      </c>
      <c r="L4" s="45">
        <v>4</v>
      </c>
      <c r="M4" s="44">
        <v>3</v>
      </c>
      <c r="N4" s="43">
        <v>3</v>
      </c>
      <c r="O4" s="50">
        <v>3</v>
      </c>
      <c r="P4" s="43">
        <v>3</v>
      </c>
    </row>
    <row r="5" spans="1:17" ht="21" thickTop="1" thickBot="1" x14ac:dyDescent="0.6">
      <c r="A5" s="157" t="s">
        <v>187</v>
      </c>
      <c r="B5" s="43"/>
      <c r="C5" s="50"/>
      <c r="D5" s="43"/>
      <c r="E5" s="50"/>
      <c r="F5" s="43"/>
      <c r="G5" s="51">
        <v>1</v>
      </c>
      <c r="H5" s="51">
        <v>1</v>
      </c>
      <c r="I5" s="51">
        <v>2</v>
      </c>
      <c r="J5" s="51">
        <v>2</v>
      </c>
      <c r="K5" s="51">
        <v>2</v>
      </c>
      <c r="L5" s="51">
        <v>2</v>
      </c>
      <c r="M5" s="51">
        <v>2</v>
      </c>
      <c r="N5" s="51">
        <v>2</v>
      </c>
      <c r="O5" s="51">
        <v>2</v>
      </c>
      <c r="P5" s="51">
        <v>2</v>
      </c>
    </row>
    <row r="6" spans="1:17" ht="21" thickTop="1" thickBot="1" x14ac:dyDescent="0.6">
      <c r="A6" s="157" t="s">
        <v>188</v>
      </c>
      <c r="B6" s="43"/>
      <c r="C6" s="50"/>
      <c r="D6" s="43"/>
      <c r="E6" s="50"/>
      <c r="F6" s="43"/>
      <c r="G6" s="50"/>
      <c r="H6" s="43"/>
      <c r="I6" s="50"/>
      <c r="J6" s="43"/>
      <c r="K6" s="50"/>
      <c r="L6" s="43"/>
      <c r="M6" s="50">
        <v>1</v>
      </c>
      <c r="N6" s="45">
        <v>2</v>
      </c>
      <c r="O6" s="44">
        <v>2</v>
      </c>
      <c r="P6" s="45">
        <v>2</v>
      </c>
    </row>
    <row r="7" spans="1:17" ht="21.4" thickTop="1" thickBot="1" x14ac:dyDescent="0.6">
      <c r="A7" s="157" t="s">
        <v>227</v>
      </c>
      <c r="B7" s="52"/>
      <c r="C7" s="44">
        <v>115.69</v>
      </c>
      <c r="D7" s="45">
        <v>115.69</v>
      </c>
      <c r="E7" s="44">
        <v>115.69</v>
      </c>
      <c r="F7" s="45">
        <v>115.69</v>
      </c>
      <c r="G7" s="50">
        <v>50</v>
      </c>
      <c r="H7" s="53">
        <v>198</v>
      </c>
      <c r="I7" s="50">
        <v>173.54</v>
      </c>
      <c r="J7" s="43">
        <v>245</v>
      </c>
      <c r="K7" s="44">
        <v>231.38</v>
      </c>
      <c r="L7" s="43">
        <v>528</v>
      </c>
      <c r="M7" s="50">
        <v>528</v>
      </c>
      <c r="N7" s="45">
        <v>115.69</v>
      </c>
      <c r="O7" s="44">
        <v>115.69</v>
      </c>
      <c r="P7" s="45">
        <v>115.69</v>
      </c>
    </row>
    <row r="8" spans="1:17" ht="21.75" thickTop="1" thickBot="1" x14ac:dyDescent="0.6">
      <c r="A8" s="157" t="s">
        <v>228</v>
      </c>
      <c r="B8" s="52"/>
      <c r="C8" s="44">
        <v>115.69</v>
      </c>
      <c r="D8" s="45">
        <v>115.69</v>
      </c>
      <c r="E8" s="44">
        <v>115.69</v>
      </c>
      <c r="F8" s="45">
        <v>115.69</v>
      </c>
      <c r="G8" s="50">
        <v>20</v>
      </c>
      <c r="H8" s="43">
        <v>100</v>
      </c>
      <c r="I8" s="50">
        <v>200</v>
      </c>
      <c r="J8" s="43">
        <v>173.54</v>
      </c>
      <c r="K8" s="50">
        <v>400</v>
      </c>
      <c r="L8" s="43">
        <v>400</v>
      </c>
      <c r="M8" s="50">
        <v>400</v>
      </c>
      <c r="N8" s="43">
        <v>1600</v>
      </c>
      <c r="O8" s="50">
        <v>1600</v>
      </c>
      <c r="P8" s="43">
        <v>1600</v>
      </c>
      <c r="Q8" s="163" t="s">
        <v>229</v>
      </c>
    </row>
    <row r="9" spans="1:17" ht="21.4" thickTop="1" thickBot="1" x14ac:dyDescent="0.6">
      <c r="A9" s="157" t="s">
        <v>230</v>
      </c>
      <c r="B9" s="54">
        <v>0</v>
      </c>
      <c r="C9" s="55">
        <v>0</v>
      </c>
      <c r="D9" s="56">
        <v>0</v>
      </c>
      <c r="E9" s="55">
        <v>0</v>
      </c>
      <c r="F9" s="56">
        <v>0</v>
      </c>
      <c r="G9" s="55">
        <v>0</v>
      </c>
      <c r="H9" s="56">
        <v>0.05</v>
      </c>
      <c r="I9" s="55">
        <v>0.06</v>
      </c>
      <c r="J9" s="56">
        <v>7.0000000000000007E-2</v>
      </c>
      <c r="K9" s="55">
        <v>0.08</v>
      </c>
      <c r="L9" s="56">
        <v>0.09</v>
      </c>
      <c r="M9" s="55">
        <v>0.1</v>
      </c>
      <c r="N9" s="56">
        <v>0.11</v>
      </c>
      <c r="O9" s="55">
        <v>0.12</v>
      </c>
      <c r="P9" s="56">
        <v>0.13</v>
      </c>
    </row>
    <row r="10" spans="1:17" ht="21.4" thickTop="1" thickBot="1" x14ac:dyDescent="0.6">
      <c r="A10" s="157" t="s">
        <v>193</v>
      </c>
      <c r="B10" s="43">
        <f>B3*1.32+B4*115.69+B5*150*1.32+B6*528+0.5*B7+0.5*B8+B9*2000*1.32</f>
        <v>231.38</v>
      </c>
      <c r="C10" s="50">
        <f>C3*1.32+C4*115.69+C5*150*1.32+C6*528+0.5*C7+0.5*C8+C9*2000*1.32</f>
        <v>231.38</v>
      </c>
      <c r="D10" s="43">
        <f>D3*1.32+D4*115.69+D5*150*1.32+D6*528+0.5*D7+0.5*D8+D9*2000*1.32</f>
        <v>277.58</v>
      </c>
      <c r="E10" s="50">
        <f>E3*1.32+E4*115.69+E5*150*1.32+E6*528+0.5*E7+0.5*E8+E9*2000*1.32</f>
        <v>313.88</v>
      </c>
      <c r="F10" s="43">
        <f>F3*1.32+F4*115.69+F5*150*1.32+F6*528+0.5*F7+0.5*F8+F9*2000*1.32</f>
        <v>369.98</v>
      </c>
      <c r="G10" s="57">
        <f>G3*1.32+G4*115.69+G5*150*1.32+G6*528+0.5*G7+0.5*G8+G9*2000*1.32</f>
        <v>464.38</v>
      </c>
      <c r="H10" s="43">
        <f>H3*1.32+H4*115.69+H5*150*1.32+H6*528+0.5*H7+0.5*H8+H9*2000*1.32</f>
        <v>710.38</v>
      </c>
      <c r="I10" s="50">
        <f>I3*1.32+I4*115.69+I5*150*1.32+I6*528+0.5*I7+0.5*I8+I9*2000*1.32</f>
        <v>972.55</v>
      </c>
      <c r="J10" s="43">
        <f>J3*1.32+J4*115.69+J5*150*1.32+J6*528+0.5*J7+0.5*J8+J9*2000*1.32</f>
        <v>1137.1399999999999</v>
      </c>
      <c r="K10" s="50">
        <f>K3*1.32+K4*115.69+K5*150*1.32+K6*528+0.5*K7+0.5*K8+K9*2000*1.32</f>
        <v>1269.96</v>
      </c>
      <c r="L10" s="43">
        <f>L3*1.32+L4*115.69+L5*150*1.32+L6*528+0.5*L7+0.5*L8+L9*2000*1.32</f>
        <v>1560.3600000000001</v>
      </c>
      <c r="M10" s="50">
        <f>M3*1.32+M4*115.69+M5*150*1.32+M6*528+0.5*M7+0.5*M8+M9*2000*1.32</f>
        <v>1999.07</v>
      </c>
      <c r="N10" s="43">
        <f>N3*1.32+N4*115.69+N5*150*1.32+N6*528+0.9*N7+0.1*N8+N9*2000*1.32</f>
        <v>2353.5909999999999</v>
      </c>
      <c r="O10" s="50">
        <f>O3*1.32+O4*115.69+O5*150*1.32+O6*528+0.85*O7+0.15*O8+O9*2000*1.32</f>
        <v>2454.2065000000002</v>
      </c>
      <c r="P10" s="43">
        <f>P3*1.32+P4*115.69+P5*150*1.32+P6*528+0.8*P7+0.2*P8+P9*2000*1.32</f>
        <v>2554.8219999999997</v>
      </c>
    </row>
    <row r="11" spans="1:17" ht="21" thickTop="1" thickBot="1" x14ac:dyDescent="0.6">
      <c r="A11" s="157" t="s">
        <v>194</v>
      </c>
      <c r="B11" s="46">
        <f>B10/198/2</f>
        <v>0.58429292929292931</v>
      </c>
      <c r="C11" s="47">
        <f>C10/198/2</f>
        <v>0.58429292929292931</v>
      </c>
      <c r="D11" s="46">
        <f>D10/198/2</f>
        <v>0.70095959595959589</v>
      </c>
      <c r="E11" s="47">
        <f>E10/198/2</f>
        <v>0.79262626262626257</v>
      </c>
      <c r="F11" s="46">
        <f>F10/198/2</f>
        <v>0.93429292929292929</v>
      </c>
      <c r="G11" s="58">
        <f>G10/198/2</f>
        <v>1.1726767676767678</v>
      </c>
      <c r="H11" s="46">
        <f>H10/198/2</f>
        <v>1.7938888888888889</v>
      </c>
      <c r="I11" s="47">
        <f>I10/198/2</f>
        <v>2.4559343434343432</v>
      </c>
      <c r="J11" s="46">
        <f>J10/198/2</f>
        <v>2.8715656565656564</v>
      </c>
      <c r="K11" s="47">
        <f>K10/198/2</f>
        <v>3.206969696969697</v>
      </c>
      <c r="L11" s="46">
        <f>L10/198/2</f>
        <v>3.9403030303030304</v>
      </c>
      <c r="M11" s="47">
        <f>M10/198/2</f>
        <v>5.0481565656565657</v>
      </c>
      <c r="N11" s="46">
        <f>N10/198/2</f>
        <v>5.9434116161616162</v>
      </c>
      <c r="O11" s="47">
        <f>O10/198/2</f>
        <v>6.1974911616161625</v>
      </c>
      <c r="P11" s="46">
        <f>P10/198/2</f>
        <v>6.4515707070707062</v>
      </c>
    </row>
    <row r="12" spans="1:17" ht="21" thickTop="1" thickBot="1" x14ac:dyDescent="0.6">
      <c r="A12" s="157" t="s">
        <v>195</v>
      </c>
      <c r="B12" s="59">
        <f>(B3+B9*2000)+B5*150</f>
        <v>0</v>
      </c>
      <c r="C12" s="60">
        <f>(C3+C9*2000)+C5*150</f>
        <v>0</v>
      </c>
      <c r="D12" s="59">
        <f>(D3+D9*2000)+D5*150</f>
        <v>35</v>
      </c>
      <c r="E12" s="60">
        <f>(E3+E9*2000)+E5*150</f>
        <v>62.5</v>
      </c>
      <c r="F12" s="59">
        <f>(F3+F9*2000)+F5*150</f>
        <v>105</v>
      </c>
      <c r="G12" s="60">
        <f>(G3+G9*2000)+G5*150</f>
        <v>150</v>
      </c>
      <c r="H12" s="61">
        <f>(H3+H9*2000)+(H5+1*0.5)*150</f>
        <v>325</v>
      </c>
      <c r="I12" s="60">
        <f>(I3+I9*2000)+I5*150</f>
        <v>420</v>
      </c>
      <c r="J12" s="59">
        <f>(J3+J9*2000)+J5*150</f>
        <v>440</v>
      </c>
      <c r="K12" s="60">
        <f>(K3+K9*2000)+K5*150</f>
        <v>460</v>
      </c>
      <c r="L12" s="59">
        <f>(L3+L9*2000)+L5*150</f>
        <v>480</v>
      </c>
      <c r="M12" s="60">
        <f>(M3+M9*2000)+M5*150</f>
        <v>500</v>
      </c>
      <c r="N12" s="59">
        <f>(N3+N9*2000)+N5*150</f>
        <v>520</v>
      </c>
      <c r="O12" s="60">
        <f>(O3+O9*2000)+O5*150</f>
        <v>540</v>
      </c>
      <c r="P12" s="59">
        <f>(P3+P9*2000)+P5*150</f>
        <v>560</v>
      </c>
    </row>
    <row r="13" spans="1:17" ht="21" thickTop="1" thickBot="1" x14ac:dyDescent="0.6">
      <c r="A13" s="157" t="s">
        <v>231</v>
      </c>
      <c r="B13" s="46">
        <f>(B12)/2/150</f>
        <v>0</v>
      </c>
      <c r="C13" s="47">
        <f>(C12)/2/150</f>
        <v>0</v>
      </c>
      <c r="D13" s="46">
        <f>(D12)/2/150</f>
        <v>0.11666666666666667</v>
      </c>
      <c r="E13" s="47">
        <f>(E12)/2/150</f>
        <v>0.20833333333333334</v>
      </c>
      <c r="F13" s="46">
        <f>(F12)/2/150</f>
        <v>0.35</v>
      </c>
      <c r="G13" s="47">
        <f>(G12)/2/150</f>
        <v>0.5</v>
      </c>
      <c r="H13" s="58">
        <f>(H12)/2/150</f>
        <v>1.0833333333333333</v>
      </c>
      <c r="I13" s="47">
        <f>(I12)/2/150</f>
        <v>1.4</v>
      </c>
      <c r="J13" s="46">
        <f>(J12)/2/150</f>
        <v>1.4666666666666666</v>
      </c>
      <c r="K13" s="47">
        <f>(K12)/2/150</f>
        <v>1.5333333333333334</v>
      </c>
      <c r="L13" s="46">
        <f>(L12)/2/150</f>
        <v>1.6</v>
      </c>
      <c r="M13" s="47">
        <f>(M12)/2/150</f>
        <v>1.6666666666666667</v>
      </c>
      <c r="N13" s="46">
        <f>(N12)/2/150</f>
        <v>1.7333333333333334</v>
      </c>
      <c r="O13" s="47">
        <f>(O12)/2/150</f>
        <v>1.8</v>
      </c>
      <c r="P13" s="46">
        <f>(P12)/2/150</f>
        <v>1.8666666666666667</v>
      </c>
    </row>
    <row r="14" spans="1:17" ht="21.75" thickTop="1" thickBot="1" x14ac:dyDescent="0.6">
      <c r="A14" s="157" t="s">
        <v>232</v>
      </c>
      <c r="B14" s="59">
        <f>B3+B5*150</f>
        <v>0</v>
      </c>
      <c r="C14" s="60">
        <f>C3+C5*150</f>
        <v>0</v>
      </c>
      <c r="D14" s="59">
        <f>D3+D5*150</f>
        <v>35</v>
      </c>
      <c r="E14" s="60">
        <f>E3+E5*150</f>
        <v>62.5</v>
      </c>
      <c r="F14" s="59">
        <f>F3+F5*150</f>
        <v>105</v>
      </c>
      <c r="G14" s="60">
        <f>G3+G5*150</f>
        <v>150</v>
      </c>
      <c r="H14" s="59">
        <f>H3+(H5+1*0.5)*150</f>
        <v>225</v>
      </c>
      <c r="I14" s="61">
        <f>I3+I5*150</f>
        <v>300</v>
      </c>
      <c r="J14" s="59">
        <f>J3+J5*150</f>
        <v>300</v>
      </c>
      <c r="K14" s="60">
        <f>K3+K5*150</f>
        <v>300</v>
      </c>
      <c r="L14" s="59">
        <f>L3+L5*150</f>
        <v>300</v>
      </c>
      <c r="M14" s="60">
        <f>M3+M5*150</f>
        <v>300</v>
      </c>
      <c r="N14" s="59">
        <f>N3+N5*150</f>
        <v>300</v>
      </c>
      <c r="O14" s="60">
        <f>O3+O5*150</f>
        <v>300</v>
      </c>
      <c r="P14" s="59">
        <f>P3+P5*150</f>
        <v>300</v>
      </c>
      <c r="Q14" s="163" t="s">
        <v>233</v>
      </c>
    </row>
    <row r="15" spans="1:17" ht="21.75" thickTop="1" thickBot="1" x14ac:dyDescent="0.6">
      <c r="A15" s="157" t="s">
        <v>198</v>
      </c>
      <c r="B15" s="46">
        <f>B14/300</f>
        <v>0</v>
      </c>
      <c r="C15" s="47">
        <f>C14/300</f>
        <v>0</v>
      </c>
      <c r="D15" s="46">
        <f>D14/300</f>
        <v>0.11666666666666667</v>
      </c>
      <c r="E15" s="47">
        <f>E14/300</f>
        <v>0.20833333333333334</v>
      </c>
      <c r="F15" s="46">
        <f>F14/300</f>
        <v>0.35</v>
      </c>
      <c r="G15" s="47">
        <f>G14/300</f>
        <v>0.5</v>
      </c>
      <c r="H15" s="46">
        <f>H14/300</f>
        <v>0.75</v>
      </c>
      <c r="I15" s="58">
        <f>I14/300</f>
        <v>1</v>
      </c>
      <c r="J15" s="46">
        <f>J14/300</f>
        <v>1</v>
      </c>
      <c r="K15" s="47">
        <f>K14/300</f>
        <v>1</v>
      </c>
      <c r="L15" s="46">
        <f>L14/300</f>
        <v>1</v>
      </c>
      <c r="M15" s="47">
        <f>M14/300</f>
        <v>1</v>
      </c>
      <c r="N15" s="46">
        <f>N14/300</f>
        <v>1</v>
      </c>
      <c r="O15" s="47">
        <f>O14/300</f>
        <v>1</v>
      </c>
      <c r="P15" s="46">
        <f>P14/300</f>
        <v>1</v>
      </c>
      <c r="Q15" s="163" t="s">
        <v>233</v>
      </c>
    </row>
    <row r="16" spans="1:17" ht="20.65" thickTop="1" x14ac:dyDescent="0.55000000000000004"/>
    <row r="17" spans="1:13" x14ac:dyDescent="0.55000000000000004">
      <c r="A17" s="158" t="s">
        <v>199</v>
      </c>
      <c r="B17" s="159" t="s">
        <v>200</v>
      </c>
      <c r="C17" s="159" t="s">
        <v>201</v>
      </c>
      <c r="D17" s="159" t="s">
        <v>202</v>
      </c>
      <c r="E17" s="159" t="s">
        <v>126</v>
      </c>
      <c r="F17" s="86"/>
      <c r="G17" s="86"/>
      <c r="H17" s="86"/>
      <c r="I17" s="86"/>
      <c r="J17" s="86"/>
      <c r="K17" s="86"/>
      <c r="L17" s="86"/>
      <c r="M17" s="86"/>
    </row>
    <row r="18" spans="1:13" x14ac:dyDescent="0.55000000000000004">
      <c r="A18" s="159" t="s">
        <v>9</v>
      </c>
      <c r="B18" s="158" t="s">
        <v>203</v>
      </c>
      <c r="C18" s="158" t="s">
        <v>117</v>
      </c>
      <c r="D18" s="158" t="s">
        <v>117</v>
      </c>
      <c r="E18" s="158" t="s">
        <v>117</v>
      </c>
      <c r="F18" s="86"/>
      <c r="G18" s="86"/>
      <c r="H18" s="86"/>
      <c r="I18" s="86"/>
      <c r="J18" s="86"/>
      <c r="K18" s="86"/>
      <c r="L18" s="86"/>
      <c r="M18" s="86"/>
    </row>
    <row r="19" spans="1:13" x14ac:dyDescent="0.55000000000000004">
      <c r="A19" s="159" t="s">
        <v>26</v>
      </c>
      <c r="B19" s="158" t="s">
        <v>204</v>
      </c>
      <c r="C19" s="158" t="s">
        <v>204</v>
      </c>
      <c r="D19" s="158" t="s">
        <v>204</v>
      </c>
      <c r="E19" s="158" t="s">
        <v>117</v>
      </c>
      <c r="F19" s="86"/>
      <c r="G19" s="86"/>
      <c r="H19" s="86"/>
      <c r="I19" s="86"/>
      <c r="J19" s="86"/>
      <c r="K19" s="86"/>
      <c r="L19" s="86"/>
      <c r="M19" s="86"/>
    </row>
    <row r="20" spans="1:13" x14ac:dyDescent="0.55000000000000004">
      <c r="A20" s="159" t="s">
        <v>28</v>
      </c>
      <c r="B20" s="158" t="s">
        <v>234</v>
      </c>
      <c r="C20" s="158" t="s">
        <v>204</v>
      </c>
      <c r="D20" s="158" t="s">
        <v>204</v>
      </c>
      <c r="E20" s="158" t="s">
        <v>117</v>
      </c>
      <c r="F20" s="86"/>
      <c r="G20" s="86"/>
      <c r="H20" s="86"/>
      <c r="I20" s="86"/>
      <c r="J20" s="86"/>
      <c r="K20" s="86"/>
      <c r="L20" s="86"/>
      <c r="M20" s="86"/>
    </row>
    <row r="21" spans="1:13" x14ac:dyDescent="0.55000000000000004">
      <c r="A21" s="159" t="s">
        <v>12</v>
      </c>
      <c r="B21" s="158" t="s">
        <v>235</v>
      </c>
      <c r="C21" s="158" t="s">
        <v>204</v>
      </c>
      <c r="D21" s="158" t="s">
        <v>204</v>
      </c>
      <c r="E21" s="158" t="s">
        <v>117</v>
      </c>
      <c r="F21" s="86"/>
      <c r="G21" s="86"/>
      <c r="H21" s="86"/>
      <c r="I21" s="86"/>
      <c r="J21" s="86"/>
      <c r="K21" s="86"/>
      <c r="L21" s="86"/>
      <c r="M21" s="86"/>
    </row>
    <row r="22" spans="1:13" x14ac:dyDescent="0.55000000000000004">
      <c r="A22" s="159" t="s">
        <v>33</v>
      </c>
      <c r="B22" s="158" t="s">
        <v>236</v>
      </c>
      <c r="C22" s="158" t="s">
        <v>204</v>
      </c>
      <c r="D22" s="158" t="s">
        <v>204</v>
      </c>
      <c r="E22" s="158" t="s">
        <v>117</v>
      </c>
      <c r="F22" s="86"/>
      <c r="G22" s="86"/>
      <c r="H22" s="86"/>
      <c r="I22" s="86"/>
      <c r="J22" s="86"/>
      <c r="K22" s="86"/>
      <c r="L22" s="86"/>
      <c r="M22" s="86"/>
    </row>
    <row r="23" spans="1:13" x14ac:dyDescent="0.55000000000000004">
      <c r="A23" s="159" t="s">
        <v>36</v>
      </c>
      <c r="B23" s="158" t="s">
        <v>237</v>
      </c>
      <c r="C23" s="158" t="s">
        <v>238</v>
      </c>
      <c r="D23" s="158" t="s">
        <v>239</v>
      </c>
      <c r="E23" s="158" t="s">
        <v>117</v>
      </c>
      <c r="F23" s="86"/>
      <c r="G23" s="86"/>
      <c r="H23" s="86"/>
      <c r="I23" s="86"/>
      <c r="J23" s="86"/>
      <c r="K23" s="86"/>
      <c r="L23" s="86"/>
      <c r="M23" s="86"/>
    </row>
    <row r="24" spans="1:13" x14ac:dyDescent="0.55000000000000004">
      <c r="A24" s="159" t="s">
        <v>39</v>
      </c>
      <c r="B24" s="158" t="s">
        <v>237</v>
      </c>
      <c r="C24" s="158" t="s">
        <v>240</v>
      </c>
      <c r="D24" s="158" t="s">
        <v>241</v>
      </c>
      <c r="E24" s="161">
        <v>0.05</v>
      </c>
      <c r="F24" s="86"/>
      <c r="G24" s="86"/>
      <c r="H24" s="86"/>
      <c r="I24" s="86"/>
      <c r="J24" s="86"/>
      <c r="K24" s="86"/>
      <c r="L24" s="86"/>
      <c r="M24" s="86"/>
    </row>
    <row r="25" spans="1:13" x14ac:dyDescent="0.55000000000000004">
      <c r="A25" s="159" t="s">
        <v>42</v>
      </c>
      <c r="B25" s="158" t="s">
        <v>242</v>
      </c>
      <c r="C25" s="158" t="s">
        <v>243</v>
      </c>
      <c r="D25" s="158" t="s">
        <v>244</v>
      </c>
      <c r="E25" s="161">
        <v>0.06</v>
      </c>
      <c r="F25" s="86"/>
      <c r="G25" s="86"/>
      <c r="H25" s="86"/>
      <c r="I25" s="86"/>
      <c r="J25" s="86"/>
      <c r="K25" s="86"/>
      <c r="L25" s="86"/>
      <c r="M25" s="86"/>
    </row>
    <row r="26" spans="1:13" x14ac:dyDescent="0.55000000000000004">
      <c r="A26" s="159" t="s">
        <v>45</v>
      </c>
      <c r="B26" s="158" t="s">
        <v>245</v>
      </c>
      <c r="C26" s="158" t="s">
        <v>246</v>
      </c>
      <c r="D26" s="158" t="s">
        <v>243</v>
      </c>
      <c r="E26" s="161">
        <v>7.0000000000000007E-2</v>
      </c>
      <c r="F26" s="86"/>
      <c r="G26" s="86"/>
      <c r="H26" s="86"/>
      <c r="I26" s="86"/>
      <c r="J26" s="86"/>
      <c r="K26" s="86"/>
      <c r="L26" s="86"/>
      <c r="M26" s="86"/>
    </row>
    <row r="27" spans="1:13" x14ac:dyDescent="0.55000000000000004">
      <c r="A27" s="159" t="s">
        <v>48</v>
      </c>
      <c r="B27" s="158" t="s">
        <v>245</v>
      </c>
      <c r="C27" s="158" t="s">
        <v>247</v>
      </c>
      <c r="D27" s="158" t="s">
        <v>248</v>
      </c>
      <c r="E27" s="161">
        <v>0.08</v>
      </c>
      <c r="F27" s="86"/>
      <c r="G27" s="86"/>
      <c r="H27" s="86"/>
      <c r="I27" s="86"/>
      <c r="J27" s="86"/>
      <c r="K27" s="86"/>
      <c r="L27" s="86"/>
      <c r="M27" s="86"/>
    </row>
    <row r="28" spans="1:13" x14ac:dyDescent="0.55000000000000004">
      <c r="A28" s="159" t="s">
        <v>51</v>
      </c>
      <c r="B28" s="158" t="s">
        <v>249</v>
      </c>
      <c r="C28" s="158" t="s">
        <v>250</v>
      </c>
      <c r="D28" s="158" t="s">
        <v>251</v>
      </c>
      <c r="E28" s="161">
        <v>0.09</v>
      </c>
      <c r="F28" s="86"/>
      <c r="G28" s="86"/>
      <c r="H28" s="86"/>
      <c r="I28" s="86"/>
      <c r="J28" s="86"/>
      <c r="K28" s="86"/>
      <c r="L28" s="86"/>
      <c r="M28" s="86"/>
    </row>
    <row r="29" spans="1:13" x14ac:dyDescent="0.55000000000000004">
      <c r="A29" s="159" t="s">
        <v>53</v>
      </c>
      <c r="B29" s="158" t="s">
        <v>252</v>
      </c>
      <c r="C29" s="158" t="s">
        <v>250</v>
      </c>
      <c r="D29" s="158" t="s">
        <v>251</v>
      </c>
      <c r="E29" s="161">
        <v>0.1</v>
      </c>
      <c r="F29" s="86"/>
      <c r="G29" s="86"/>
      <c r="H29" s="86"/>
      <c r="I29" s="86"/>
      <c r="J29" s="86"/>
      <c r="K29" s="86"/>
      <c r="L29" s="86"/>
      <c r="M29" s="86"/>
    </row>
    <row r="30" spans="1:13" x14ac:dyDescent="0.55000000000000004">
      <c r="A30" s="159" t="s">
        <v>2</v>
      </c>
      <c r="B30" s="158" t="s">
        <v>253</v>
      </c>
      <c r="C30" s="158" t="s">
        <v>254</v>
      </c>
      <c r="D30" s="158" t="s">
        <v>255</v>
      </c>
      <c r="E30" s="161">
        <v>0.11</v>
      </c>
      <c r="F30" s="86"/>
      <c r="G30" s="86"/>
      <c r="H30" s="86"/>
      <c r="I30" s="86"/>
      <c r="J30" s="86"/>
      <c r="K30" s="86"/>
      <c r="L30" s="86"/>
      <c r="M30" s="86"/>
    </row>
    <row r="31" spans="1:13" x14ac:dyDescent="0.55000000000000004">
      <c r="A31" s="159" t="s">
        <v>1</v>
      </c>
      <c r="B31" s="158" t="s">
        <v>256</v>
      </c>
      <c r="C31" s="158" t="s">
        <v>257</v>
      </c>
      <c r="D31" s="158" t="s">
        <v>258</v>
      </c>
      <c r="E31" s="161">
        <v>0.12</v>
      </c>
      <c r="F31" s="86"/>
      <c r="G31" s="86"/>
      <c r="H31" s="86"/>
      <c r="I31" s="86"/>
      <c r="J31" s="86"/>
      <c r="K31" s="86"/>
      <c r="L31" s="86"/>
      <c r="M31" s="86"/>
    </row>
    <row r="32" spans="1:13" x14ac:dyDescent="0.55000000000000004">
      <c r="A32" s="159" t="s">
        <v>0</v>
      </c>
      <c r="B32" s="158" t="s">
        <v>256</v>
      </c>
      <c r="C32" s="158" t="s">
        <v>259</v>
      </c>
      <c r="D32" s="158" t="s">
        <v>260</v>
      </c>
      <c r="E32" s="161">
        <v>0.13</v>
      </c>
      <c r="F32" s="86"/>
      <c r="G32" s="86"/>
      <c r="H32" s="86"/>
      <c r="I32" s="86"/>
      <c r="J32" s="86"/>
      <c r="K32" s="86"/>
      <c r="L32" s="86"/>
      <c r="M32" s="86"/>
    </row>
    <row r="33" spans="1:1" x14ac:dyDescent="0.55000000000000004">
      <c r="A33" s="163" t="s">
        <v>122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2814-4B3D-4D28-822A-A4049716296E}">
  <dimension ref="A1:Q25"/>
  <sheetViews>
    <sheetView zoomScale="85" zoomScaleNormal="85" workbookViewId="0">
      <selection sqref="A1:XFD1048576"/>
    </sheetView>
  </sheetViews>
  <sheetFormatPr defaultRowHeight="20.25" x14ac:dyDescent="0.55000000000000004"/>
  <cols>
    <col min="1" max="1" width="10.33203125" style="162" bestFit="1" customWidth="1"/>
    <col min="2" max="2" width="6.53125" style="162" customWidth="1"/>
    <col min="3" max="3" width="7.19921875" style="162" bestFit="1" customWidth="1"/>
    <col min="4" max="4" width="6.796875" style="162" bestFit="1" customWidth="1"/>
    <col min="5" max="8" width="7.19921875" style="162" bestFit="1" customWidth="1"/>
    <col min="9" max="16" width="8.19921875" style="162" bestFit="1" customWidth="1"/>
    <col min="17" max="17" width="8.73046875" style="162" customWidth="1"/>
    <col min="18" max="16384" width="9.06640625" style="162"/>
  </cols>
  <sheetData>
    <row r="1" spans="1:17" ht="21" thickTop="1" thickBot="1" x14ac:dyDescent="0.6">
      <c r="A1" s="157" t="s">
        <v>183</v>
      </c>
      <c r="B1" s="65" t="s">
        <v>9</v>
      </c>
      <c r="C1" s="66" t="s">
        <v>26</v>
      </c>
      <c r="D1" s="66" t="s">
        <v>28</v>
      </c>
      <c r="E1" s="66" t="s">
        <v>12</v>
      </c>
      <c r="F1" s="66" t="s">
        <v>33</v>
      </c>
      <c r="G1" s="66" t="s">
        <v>36</v>
      </c>
      <c r="H1" s="66" t="s">
        <v>39</v>
      </c>
      <c r="I1" s="66" t="s">
        <v>42</v>
      </c>
      <c r="J1" s="66" t="s">
        <v>45</v>
      </c>
      <c r="K1" s="66" t="s">
        <v>48</v>
      </c>
      <c r="L1" s="66" t="s">
        <v>51</v>
      </c>
      <c r="M1" s="66" t="s">
        <v>53</v>
      </c>
      <c r="N1" s="66" t="s">
        <v>2</v>
      </c>
      <c r="O1" s="66" t="s">
        <v>1</v>
      </c>
      <c r="P1" s="66" t="s">
        <v>0</v>
      </c>
    </row>
    <row r="2" spans="1:17" ht="21" thickTop="1" thickBot="1" x14ac:dyDescent="0.6">
      <c r="A2" s="157" t="s">
        <v>184</v>
      </c>
      <c r="B2" s="63">
        <f>0/(0+3)</f>
        <v>0</v>
      </c>
      <c r="C2" s="47">
        <f>1/(1+3)</f>
        <v>0.25</v>
      </c>
      <c r="D2" s="63">
        <f>2/(2+3)</f>
        <v>0.4</v>
      </c>
      <c r="E2" s="47">
        <f>3/(3+3)</f>
        <v>0.5</v>
      </c>
      <c r="F2" s="63">
        <f>4/(4+3)</f>
        <v>0.5714285714285714</v>
      </c>
      <c r="G2" s="47">
        <f>5/(5+3)</f>
        <v>0.625</v>
      </c>
      <c r="H2" s="63">
        <f>6/(6+3)</f>
        <v>0.66666666666666663</v>
      </c>
      <c r="I2" s="47">
        <f>7/(7+3)</f>
        <v>0.7</v>
      </c>
      <c r="J2" s="63">
        <f>8/(8+3)</f>
        <v>0.72727272727272729</v>
      </c>
      <c r="K2" s="47">
        <f>9/(9+3)</f>
        <v>0.75</v>
      </c>
      <c r="L2" s="63">
        <f>10/(10+3)</f>
        <v>0.76923076923076927</v>
      </c>
      <c r="M2" s="47">
        <f>11/(11+3)</f>
        <v>0.7857142857142857</v>
      </c>
      <c r="N2" s="64">
        <f>12/(12+2)</f>
        <v>0.8571428571428571</v>
      </c>
      <c r="O2" s="49">
        <f>12/(12+1)</f>
        <v>0.92307692307692313</v>
      </c>
      <c r="P2" s="64">
        <f>12/12</f>
        <v>1</v>
      </c>
    </row>
    <row r="3" spans="1:17" ht="21" thickTop="1" thickBot="1" x14ac:dyDescent="0.6">
      <c r="A3" s="157" t="s">
        <v>185</v>
      </c>
      <c r="B3" s="62"/>
      <c r="C3" s="50"/>
      <c r="D3" s="62"/>
      <c r="E3" s="50">
        <v>30</v>
      </c>
      <c r="F3" s="62">
        <v>55</v>
      </c>
      <c r="G3" s="50">
        <v>55</v>
      </c>
      <c r="H3" s="62">
        <v>80</v>
      </c>
      <c r="I3" s="50">
        <v>155</v>
      </c>
      <c r="J3" s="62">
        <v>155</v>
      </c>
      <c r="K3" s="50">
        <v>155</v>
      </c>
      <c r="L3" s="62">
        <v>175</v>
      </c>
      <c r="M3" s="50">
        <v>200</v>
      </c>
      <c r="N3" s="62">
        <v>250</v>
      </c>
      <c r="O3" s="50">
        <v>250</v>
      </c>
      <c r="P3" s="62">
        <v>250</v>
      </c>
    </row>
    <row r="4" spans="1:17" ht="21.75" thickTop="1" thickBot="1" x14ac:dyDescent="0.6">
      <c r="A4" s="157" t="s">
        <v>261</v>
      </c>
      <c r="B4" s="62">
        <v>27.5</v>
      </c>
      <c r="C4" s="50">
        <v>32.5</v>
      </c>
      <c r="D4" s="62">
        <v>45</v>
      </c>
      <c r="E4" s="50">
        <v>22.5</v>
      </c>
      <c r="F4" s="62">
        <v>22.5</v>
      </c>
      <c r="G4" s="50">
        <v>52.5</v>
      </c>
      <c r="H4" s="62">
        <v>52.5</v>
      </c>
      <c r="I4" s="50">
        <v>22.5</v>
      </c>
      <c r="J4" s="62">
        <v>22.5</v>
      </c>
      <c r="K4" s="50">
        <v>22.5</v>
      </c>
      <c r="L4" s="62">
        <v>80</v>
      </c>
      <c r="M4" s="50">
        <v>80</v>
      </c>
      <c r="N4" s="62">
        <v>85</v>
      </c>
      <c r="O4" s="50">
        <v>85</v>
      </c>
      <c r="P4" s="62">
        <v>85</v>
      </c>
      <c r="Q4" s="163" t="s">
        <v>262</v>
      </c>
    </row>
    <row r="5" spans="1:17" ht="21.75" thickTop="1" thickBot="1" x14ac:dyDescent="0.6">
      <c r="A5" s="157" t="s">
        <v>263</v>
      </c>
      <c r="B5" s="62"/>
      <c r="C5" s="50"/>
      <c r="D5" s="62"/>
      <c r="E5" s="50"/>
      <c r="F5" s="62"/>
      <c r="G5" s="50"/>
      <c r="H5" s="62"/>
      <c r="I5" s="50"/>
      <c r="J5" s="62">
        <v>42.5</v>
      </c>
      <c r="K5" s="50">
        <v>105</v>
      </c>
      <c r="L5" s="62">
        <v>105</v>
      </c>
      <c r="M5" s="50">
        <v>160</v>
      </c>
      <c r="N5" s="62">
        <v>160</v>
      </c>
      <c r="O5" s="50">
        <v>160</v>
      </c>
      <c r="P5" s="62">
        <v>160</v>
      </c>
      <c r="Q5" s="163" t="s">
        <v>264</v>
      </c>
    </row>
    <row r="6" spans="1:17" ht="21" thickTop="1" thickBot="1" x14ac:dyDescent="0.6">
      <c r="A6" s="157" t="s">
        <v>265</v>
      </c>
      <c r="B6" s="67">
        <f>B3+B4/3+B5/2</f>
        <v>9.1666666666666661</v>
      </c>
      <c r="C6" s="71">
        <f>C3+C4/3+C5/2</f>
        <v>10.833333333333334</v>
      </c>
      <c r="D6" s="67">
        <f>D3+D4/3+D5/2</f>
        <v>15</v>
      </c>
      <c r="E6" s="71">
        <f>E3+E4/3+E5/2</f>
        <v>37.5</v>
      </c>
      <c r="F6" s="67">
        <f>F3+F4/3+F5/2</f>
        <v>62.5</v>
      </c>
      <c r="G6" s="71">
        <f>G3+G4/3+G5/2</f>
        <v>72.5</v>
      </c>
      <c r="H6" s="67">
        <f>H3+H4/3+H5/2</f>
        <v>97.5</v>
      </c>
      <c r="I6" s="68">
        <f>I3+I4/3+I5/2</f>
        <v>162.5</v>
      </c>
      <c r="J6" s="67">
        <f>J3+J4/3+J5/2</f>
        <v>183.75</v>
      </c>
      <c r="K6" s="71">
        <f>K3+K4/3+K5/2</f>
        <v>215</v>
      </c>
      <c r="L6" s="67">
        <f>L3+L4/3+L5/2</f>
        <v>254.16666666666666</v>
      </c>
      <c r="M6" s="71">
        <f>M3+M4/3+M5/2</f>
        <v>306.66666666666663</v>
      </c>
      <c r="N6" s="67">
        <f>N3+N4/3+N5/2</f>
        <v>358.33333333333331</v>
      </c>
      <c r="O6" s="71">
        <f>O3+O4/3+O5/2</f>
        <v>358.33333333333331</v>
      </c>
      <c r="P6" s="67">
        <f>P3+P4/3+P5/2</f>
        <v>358.33333333333331</v>
      </c>
    </row>
    <row r="7" spans="1:17" ht="21" thickTop="1" thickBot="1" x14ac:dyDescent="0.6">
      <c r="A7" s="157" t="s">
        <v>231</v>
      </c>
      <c r="B7" s="69">
        <f>B6/150</f>
        <v>6.1111111111111109E-2</v>
      </c>
      <c r="C7" s="72">
        <f>C6/150</f>
        <v>7.2222222222222229E-2</v>
      </c>
      <c r="D7" s="69">
        <f>D6/150</f>
        <v>0.1</v>
      </c>
      <c r="E7" s="72">
        <f>E6/150</f>
        <v>0.25</v>
      </c>
      <c r="F7" s="69">
        <f>F6/150</f>
        <v>0.41666666666666669</v>
      </c>
      <c r="G7" s="72">
        <f>G6/150</f>
        <v>0.48333333333333334</v>
      </c>
      <c r="H7" s="69">
        <f>H6/150</f>
        <v>0.65</v>
      </c>
      <c r="I7" s="70">
        <f>I6/150</f>
        <v>1.0833333333333333</v>
      </c>
      <c r="J7" s="69">
        <f>J6/150</f>
        <v>1.2250000000000001</v>
      </c>
      <c r="K7" s="72">
        <f>K6/150</f>
        <v>1.4333333333333333</v>
      </c>
      <c r="L7" s="69">
        <f>L6/150</f>
        <v>1.6944444444444444</v>
      </c>
      <c r="M7" s="72">
        <f>M6/150</f>
        <v>2.0444444444444443</v>
      </c>
      <c r="N7" s="69">
        <f>N6/150</f>
        <v>2.3888888888888888</v>
      </c>
      <c r="O7" s="72">
        <f>O6/150</f>
        <v>2.3888888888888888</v>
      </c>
      <c r="P7" s="69">
        <f>P6/150</f>
        <v>2.3888888888888888</v>
      </c>
    </row>
    <row r="8" spans="1:17" ht="20.65" thickTop="1" x14ac:dyDescent="0.55000000000000004"/>
    <row r="10" spans="1:17" x14ac:dyDescent="0.55000000000000004">
      <c r="A10" s="164" t="s">
        <v>266</v>
      </c>
      <c r="B10" s="165" t="s">
        <v>267</v>
      </c>
      <c r="C10" s="165" t="s">
        <v>268</v>
      </c>
      <c r="D10" s="165" t="s">
        <v>269</v>
      </c>
    </row>
    <row r="11" spans="1:17" x14ac:dyDescent="0.55000000000000004">
      <c r="A11" s="165" t="s">
        <v>9</v>
      </c>
      <c r="B11" s="164" t="s">
        <v>270</v>
      </c>
      <c r="C11" s="164" t="s">
        <v>271</v>
      </c>
      <c r="D11" s="164" t="s">
        <v>3</v>
      </c>
    </row>
    <row r="12" spans="1:17" x14ac:dyDescent="0.55000000000000004">
      <c r="A12" s="165" t="s">
        <v>26</v>
      </c>
      <c r="B12" s="164" t="s">
        <v>270</v>
      </c>
      <c r="C12" s="164" t="s">
        <v>272</v>
      </c>
      <c r="D12" s="164" t="s">
        <v>3</v>
      </c>
    </row>
    <row r="13" spans="1:17" x14ac:dyDescent="0.55000000000000004">
      <c r="A13" s="165" t="s">
        <v>28</v>
      </c>
      <c r="B13" s="164" t="s">
        <v>270</v>
      </c>
      <c r="C13" s="164" t="s">
        <v>273</v>
      </c>
      <c r="D13" s="164" t="s">
        <v>3</v>
      </c>
    </row>
    <row r="14" spans="1:17" x14ac:dyDescent="0.55000000000000004">
      <c r="A14" s="165" t="s">
        <v>12</v>
      </c>
      <c r="B14" s="164" t="s">
        <v>274</v>
      </c>
      <c r="C14" s="164" t="s">
        <v>275</v>
      </c>
      <c r="D14" s="164" t="s">
        <v>3</v>
      </c>
    </row>
    <row r="15" spans="1:17" x14ac:dyDescent="0.55000000000000004">
      <c r="A15" s="165" t="s">
        <v>33</v>
      </c>
      <c r="B15" s="164" t="s">
        <v>276</v>
      </c>
      <c r="C15" s="164" t="s">
        <v>275</v>
      </c>
      <c r="D15" s="164" t="s">
        <v>3</v>
      </c>
    </row>
    <row r="16" spans="1:17" x14ac:dyDescent="0.55000000000000004">
      <c r="A16" s="165" t="s">
        <v>36</v>
      </c>
      <c r="B16" s="164" t="s">
        <v>276</v>
      </c>
      <c r="C16" s="164" t="s">
        <v>277</v>
      </c>
      <c r="D16" s="164" t="s">
        <v>3</v>
      </c>
    </row>
    <row r="17" spans="1:4" x14ac:dyDescent="0.55000000000000004">
      <c r="A17" s="165" t="s">
        <v>39</v>
      </c>
      <c r="B17" s="164" t="s">
        <v>278</v>
      </c>
      <c r="C17" s="164" t="s">
        <v>277</v>
      </c>
      <c r="D17" s="164" t="s">
        <v>3</v>
      </c>
    </row>
    <row r="18" spans="1:4" x14ac:dyDescent="0.55000000000000004">
      <c r="A18" s="165" t="s">
        <v>42</v>
      </c>
      <c r="B18" s="164" t="s">
        <v>279</v>
      </c>
      <c r="C18" s="164" t="s">
        <v>275</v>
      </c>
      <c r="D18" s="164" t="s">
        <v>3</v>
      </c>
    </row>
    <row r="19" spans="1:4" x14ac:dyDescent="0.55000000000000004">
      <c r="A19" s="165" t="s">
        <v>45</v>
      </c>
      <c r="B19" s="164" t="s">
        <v>280</v>
      </c>
      <c r="C19" s="164" t="s">
        <v>275</v>
      </c>
      <c r="D19" s="164" t="s">
        <v>281</v>
      </c>
    </row>
    <row r="20" spans="1:4" x14ac:dyDescent="0.55000000000000004">
      <c r="A20" s="165" t="s">
        <v>48</v>
      </c>
      <c r="B20" s="164" t="s">
        <v>280</v>
      </c>
      <c r="C20" s="164" t="s">
        <v>275</v>
      </c>
      <c r="D20" s="164" t="s">
        <v>282</v>
      </c>
    </row>
    <row r="21" spans="1:4" x14ac:dyDescent="0.55000000000000004">
      <c r="A21" s="165" t="s">
        <v>51</v>
      </c>
      <c r="B21" s="164" t="s">
        <v>283</v>
      </c>
      <c r="C21" s="164" t="s">
        <v>284</v>
      </c>
      <c r="D21" s="164" t="s">
        <v>282</v>
      </c>
    </row>
    <row r="22" spans="1:4" x14ac:dyDescent="0.55000000000000004">
      <c r="A22" s="165" t="s">
        <v>53</v>
      </c>
      <c r="B22" s="164" t="s">
        <v>285</v>
      </c>
      <c r="C22" s="164" t="s">
        <v>284</v>
      </c>
      <c r="D22" s="164" t="s">
        <v>286</v>
      </c>
    </row>
    <row r="23" spans="1:4" x14ac:dyDescent="0.55000000000000004">
      <c r="A23" s="165" t="s">
        <v>118</v>
      </c>
      <c r="B23" s="164" t="s">
        <v>287</v>
      </c>
      <c r="C23" s="164" t="s">
        <v>288</v>
      </c>
      <c r="D23" s="164" t="s">
        <v>289</v>
      </c>
    </row>
    <row r="24" spans="1:4" x14ac:dyDescent="0.55000000000000004">
      <c r="A24" s="156" t="s">
        <v>119</v>
      </c>
      <c r="B24" s="86"/>
      <c r="C24" s="86"/>
      <c r="D24" s="86"/>
    </row>
    <row r="25" spans="1:4" x14ac:dyDescent="0.55000000000000004">
      <c r="A25" s="86"/>
      <c r="B25" s="86"/>
      <c r="C25" s="86"/>
      <c r="D25" s="86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B7B2-05BB-4DB5-A2F9-24AFA44691CB}">
  <dimension ref="A1:P13"/>
  <sheetViews>
    <sheetView zoomScale="85" zoomScaleNormal="85" workbookViewId="0">
      <selection sqref="A1:XFD1048576"/>
    </sheetView>
  </sheetViews>
  <sheetFormatPr defaultRowHeight="13.9" x14ac:dyDescent="0.4"/>
  <cols>
    <col min="1" max="1" width="13.3984375" style="86" bestFit="1" customWidth="1"/>
    <col min="2" max="5" width="10.1328125" style="86" bestFit="1" customWidth="1"/>
    <col min="6" max="16" width="11.6640625" style="86" bestFit="1" customWidth="1"/>
    <col min="17" max="16384" width="9.06640625" style="86"/>
  </cols>
  <sheetData>
    <row r="1" spans="1:16" ht="21" thickTop="1" thickBot="1" x14ac:dyDescent="0.45">
      <c r="A1" s="157" t="s">
        <v>183</v>
      </c>
      <c r="B1" s="65" t="s">
        <v>9</v>
      </c>
      <c r="C1" s="66" t="s">
        <v>26</v>
      </c>
      <c r="D1" s="66" t="s">
        <v>28</v>
      </c>
      <c r="E1" s="66" t="s">
        <v>12</v>
      </c>
      <c r="F1" s="66" t="s">
        <v>33</v>
      </c>
      <c r="G1" s="66" t="s">
        <v>36</v>
      </c>
      <c r="H1" s="66" t="s">
        <v>39</v>
      </c>
      <c r="I1" s="66" t="s">
        <v>42</v>
      </c>
      <c r="J1" s="66" t="s">
        <v>45</v>
      </c>
      <c r="K1" s="66" t="s">
        <v>48</v>
      </c>
      <c r="L1" s="66" t="s">
        <v>51</v>
      </c>
      <c r="M1" s="66" t="s">
        <v>53</v>
      </c>
      <c r="N1" s="66" t="s">
        <v>2</v>
      </c>
      <c r="O1" s="66" t="s">
        <v>1</v>
      </c>
      <c r="P1" s="66" t="s">
        <v>0</v>
      </c>
    </row>
    <row r="2" spans="1:16" ht="21" thickTop="1" thickBot="1" x14ac:dyDescent="0.45">
      <c r="A2" s="157" t="s">
        <v>184</v>
      </c>
      <c r="B2" s="47">
        <f>0/(0+3)</f>
        <v>0</v>
      </c>
      <c r="C2" s="46">
        <f>1/(1+3)</f>
        <v>0.25</v>
      </c>
      <c r="D2" s="47">
        <f>2/(2+3)</f>
        <v>0.4</v>
      </c>
      <c r="E2" s="46">
        <f>3/(3+3)</f>
        <v>0.5</v>
      </c>
      <c r="F2" s="47">
        <f>4/(4+3)</f>
        <v>0.5714285714285714</v>
      </c>
      <c r="G2" s="46">
        <f>5/(5+3)</f>
        <v>0.625</v>
      </c>
      <c r="H2" s="47">
        <f>6/(6+3)</f>
        <v>0.66666666666666663</v>
      </c>
      <c r="I2" s="46">
        <f>7/(7+3)</f>
        <v>0.7</v>
      </c>
      <c r="J2" s="47">
        <f>8/(8+3)</f>
        <v>0.72727272727272729</v>
      </c>
      <c r="K2" s="46">
        <f>9/(9+3)</f>
        <v>0.75</v>
      </c>
      <c r="L2" s="47">
        <f>10/(10+3)</f>
        <v>0.76923076923076927</v>
      </c>
      <c r="M2" s="46">
        <f>11/(11+3)</f>
        <v>0.7857142857142857</v>
      </c>
      <c r="N2" s="49">
        <f>12/(12+2)</f>
        <v>0.8571428571428571</v>
      </c>
      <c r="O2" s="48">
        <f>12/(12+1)</f>
        <v>0.92307692307692313</v>
      </c>
      <c r="P2" s="49">
        <f>12/12</f>
        <v>1</v>
      </c>
    </row>
    <row r="3" spans="1:16" ht="21" thickTop="1" thickBot="1" x14ac:dyDescent="0.45">
      <c r="A3" s="157" t="s">
        <v>195</v>
      </c>
      <c r="B3" s="50"/>
      <c r="C3" s="43"/>
      <c r="D3" s="50"/>
      <c r="E3" s="43">
        <v>120</v>
      </c>
      <c r="F3" s="50">
        <v>190</v>
      </c>
      <c r="G3" s="43">
        <v>220</v>
      </c>
      <c r="H3" s="50">
        <v>250</v>
      </c>
      <c r="I3" s="43">
        <v>280</v>
      </c>
      <c r="J3" s="50">
        <v>310</v>
      </c>
      <c r="K3" s="43">
        <v>400</v>
      </c>
      <c r="L3" s="50">
        <v>400</v>
      </c>
      <c r="M3" s="43">
        <v>480</v>
      </c>
      <c r="N3" s="50">
        <v>1100</v>
      </c>
      <c r="O3" s="43">
        <v>1100</v>
      </c>
      <c r="P3" s="50">
        <v>1100</v>
      </c>
    </row>
    <row r="4" spans="1:16" ht="21" thickTop="1" thickBot="1" x14ac:dyDescent="0.45">
      <c r="A4" s="157" t="s">
        <v>290</v>
      </c>
      <c r="B4" s="50">
        <v>1</v>
      </c>
      <c r="C4" s="43">
        <v>2</v>
      </c>
      <c r="D4" s="50">
        <v>3</v>
      </c>
      <c r="E4" s="43">
        <v>4</v>
      </c>
      <c r="F4" s="50">
        <v>5</v>
      </c>
      <c r="G4" s="43">
        <v>6</v>
      </c>
      <c r="H4" s="50">
        <v>7</v>
      </c>
      <c r="I4" s="43">
        <v>8</v>
      </c>
      <c r="J4" s="50">
        <v>9</v>
      </c>
      <c r="K4" s="43">
        <v>16</v>
      </c>
      <c r="L4" s="50">
        <v>16</v>
      </c>
      <c r="M4" s="43">
        <v>16</v>
      </c>
      <c r="N4" s="50">
        <v>50</v>
      </c>
      <c r="O4" s="43">
        <v>50</v>
      </c>
      <c r="P4" s="50">
        <v>50</v>
      </c>
    </row>
    <row r="5" spans="1:16" ht="21" thickTop="1" thickBot="1" x14ac:dyDescent="0.45">
      <c r="A5" s="157" t="s">
        <v>291</v>
      </c>
      <c r="B5" s="50"/>
      <c r="C5" s="43"/>
      <c r="D5" s="50"/>
      <c r="E5" s="43">
        <v>120</v>
      </c>
      <c r="F5" s="50">
        <v>190</v>
      </c>
      <c r="G5" s="43">
        <v>220</v>
      </c>
      <c r="H5" s="50">
        <v>250</v>
      </c>
      <c r="I5" s="43">
        <v>280</v>
      </c>
      <c r="J5" s="50">
        <v>310</v>
      </c>
      <c r="K5" s="43">
        <v>400</v>
      </c>
      <c r="L5" s="50">
        <v>400</v>
      </c>
      <c r="M5" s="43">
        <v>480</v>
      </c>
      <c r="N5" s="50">
        <v>1100</v>
      </c>
      <c r="O5" s="43">
        <v>1100</v>
      </c>
      <c r="P5" s="50">
        <v>1100</v>
      </c>
    </row>
    <row r="6" spans="1:16" ht="21" thickTop="1" thickBot="1" x14ac:dyDescent="0.45">
      <c r="A6" s="157" t="s">
        <v>292</v>
      </c>
      <c r="B6" s="50"/>
      <c r="C6" s="43"/>
      <c r="D6" s="50"/>
      <c r="E6" s="43"/>
      <c r="F6" s="50"/>
      <c r="G6" s="43"/>
      <c r="H6" s="50"/>
      <c r="I6" s="43"/>
      <c r="J6" s="50"/>
      <c r="K6" s="43"/>
      <c r="L6" s="50">
        <v>1</v>
      </c>
      <c r="M6" s="43">
        <v>2</v>
      </c>
      <c r="N6" s="50">
        <v>3</v>
      </c>
      <c r="O6" s="43">
        <v>3</v>
      </c>
      <c r="P6" s="50">
        <v>3</v>
      </c>
    </row>
    <row r="7" spans="1:16" ht="21.4" thickTop="1" thickBot="1" x14ac:dyDescent="0.45">
      <c r="A7" s="157" t="s">
        <v>193</v>
      </c>
      <c r="B7" s="50">
        <f>B3*1.32+B4*115.69+B5+B6*1600</f>
        <v>115.69</v>
      </c>
      <c r="C7" s="43">
        <f>C3*1.32+C4*115.69+C5+C6*1600</f>
        <v>231.38</v>
      </c>
      <c r="D7" s="50">
        <f>D3*1.32+D4*115.69+D5+D6*1600</f>
        <v>347.07</v>
      </c>
      <c r="E7" s="43">
        <f>E3*1.32+E4*115.69+E5+E6*1600</f>
        <v>741.16</v>
      </c>
      <c r="F7" s="50">
        <f>F3*1.32+F4*115.69+F5+F6*1600</f>
        <v>1019.25</v>
      </c>
      <c r="G7" s="43">
        <f>G3*1.32+G4*115.69+G5+G6*1600</f>
        <v>1204.54</v>
      </c>
      <c r="H7" s="50">
        <f>H3*1.32+H4*115.69+H5+H6*1600</f>
        <v>1389.83</v>
      </c>
      <c r="I7" s="43">
        <f>I3*1.32+I4*115.69+I5+I6*1600</f>
        <v>1575.12</v>
      </c>
      <c r="J7" s="50">
        <f>J3*1.32+J4*115.69+J5+J6*1600</f>
        <v>1760.41</v>
      </c>
      <c r="K7" s="43">
        <f>K3*1.32+K4*115.69+K5+K6*1600</f>
        <v>2779.04</v>
      </c>
      <c r="L7" s="50">
        <f>L3*1.32+L4*115.69+L5+L6*1600</f>
        <v>4379.04</v>
      </c>
      <c r="M7" s="43">
        <f>M3*1.32+M4*115.69+M5+M6*1600</f>
        <v>6164.6399999999994</v>
      </c>
      <c r="N7" s="50">
        <f>N3*1.32+N4*115.69+N5+N6*1600</f>
        <v>13136.5</v>
      </c>
      <c r="O7" s="43">
        <f>O3*1.32+O4*115.69+O5+O6*1600</f>
        <v>13136.5</v>
      </c>
      <c r="P7" s="50">
        <f>P3*1.32+P4*115.69+P5+P6*1600</f>
        <v>13136.5</v>
      </c>
    </row>
    <row r="8" spans="1:16" ht="21" thickTop="1" thickBot="1" x14ac:dyDescent="0.45">
      <c r="A8" s="157" t="s">
        <v>194</v>
      </c>
      <c r="B8" s="47">
        <f>B7/(1000*1.32)</f>
        <v>8.7643939393939399E-2</v>
      </c>
      <c r="C8" s="46">
        <f>C7/(1000*1.32)</f>
        <v>0.1752878787878788</v>
      </c>
      <c r="D8" s="47">
        <f>D7/(1000*1.32)</f>
        <v>0.26293181818181816</v>
      </c>
      <c r="E8" s="46">
        <f>E7/(1000*1.32)</f>
        <v>0.56148484848484848</v>
      </c>
      <c r="F8" s="47">
        <f>F7/(1000*1.32)</f>
        <v>0.77215909090909096</v>
      </c>
      <c r="G8" s="46">
        <f>G7/(1000*1.32)</f>
        <v>0.91253030303030302</v>
      </c>
      <c r="H8" s="47">
        <f>H7/(1000*1.32)</f>
        <v>1.0529015151515151</v>
      </c>
      <c r="I8" s="46">
        <f>I7/(1000*1.32)</f>
        <v>1.1932727272727273</v>
      </c>
      <c r="J8" s="47">
        <f>J7/(1000*1.32)</f>
        <v>1.3336439393939394</v>
      </c>
      <c r="K8" s="46">
        <f>K7/(1000*1.32)</f>
        <v>2.1053333333333333</v>
      </c>
      <c r="L8" s="47">
        <f>L7/(1000*1.32)</f>
        <v>3.3174545454545452</v>
      </c>
      <c r="M8" s="46">
        <f>M7/(1000*1.32)</f>
        <v>4.6701818181818178</v>
      </c>
      <c r="N8" s="47">
        <f>N7/(1000*1.32)</f>
        <v>9.9518939393939387</v>
      </c>
      <c r="O8" s="46">
        <f>O7/(1000*1.32)</f>
        <v>9.9518939393939387</v>
      </c>
      <c r="P8" s="47">
        <f>P7/(1000*1.32)</f>
        <v>9.9518939393939387</v>
      </c>
    </row>
    <row r="9" spans="1:16" ht="21" thickTop="1" thickBot="1" x14ac:dyDescent="0.45">
      <c r="A9" s="157" t="s">
        <v>196</v>
      </c>
      <c r="B9" s="47">
        <f>B3/1000</f>
        <v>0</v>
      </c>
      <c r="C9" s="46">
        <f>C3/1000</f>
        <v>0</v>
      </c>
      <c r="D9" s="47">
        <f>D3/1000</f>
        <v>0</v>
      </c>
      <c r="E9" s="46">
        <f>E3/1000</f>
        <v>0.12</v>
      </c>
      <c r="F9" s="47">
        <f>F3/1000</f>
        <v>0.19</v>
      </c>
      <c r="G9" s="46">
        <f>G3/1000</f>
        <v>0.22</v>
      </c>
      <c r="H9" s="47">
        <f>H3/1000</f>
        <v>0.25</v>
      </c>
      <c r="I9" s="46">
        <f>I3/1000</f>
        <v>0.28000000000000003</v>
      </c>
      <c r="J9" s="47">
        <f>J3/1000</f>
        <v>0.31</v>
      </c>
      <c r="K9" s="46">
        <f>K3/1000</f>
        <v>0.4</v>
      </c>
      <c r="L9" s="47">
        <f>L3/1000</f>
        <v>0.4</v>
      </c>
      <c r="M9" s="46">
        <f>M3/1000</f>
        <v>0.48</v>
      </c>
      <c r="N9" s="47">
        <f>N3/1000</f>
        <v>1.1000000000000001</v>
      </c>
      <c r="O9" s="46">
        <f>O3/1000</f>
        <v>1.1000000000000001</v>
      </c>
      <c r="P9" s="47">
        <f>P3/1000</f>
        <v>1.1000000000000001</v>
      </c>
    </row>
    <row r="10" spans="1:16" ht="14.25" thickTop="1" x14ac:dyDescent="0.4"/>
    <row r="12" spans="1:16" ht="14.25" x14ac:dyDescent="0.4">
      <c r="A12" s="156" t="s">
        <v>293</v>
      </c>
    </row>
    <row r="13" spans="1:16" x14ac:dyDescent="0.4">
      <c r="A13" s="156" t="s">
        <v>120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0899-3ED0-4246-87EC-EAE1D494B9C8}">
  <dimension ref="A1:AE30"/>
  <sheetViews>
    <sheetView zoomScale="70" zoomScaleNormal="70" workbookViewId="0">
      <selection activeCell="S18" sqref="S18"/>
    </sheetView>
  </sheetViews>
  <sheetFormatPr defaultRowHeight="13.9" x14ac:dyDescent="0.4"/>
  <cols>
    <col min="1" max="1" width="4.9296875" style="86" bestFit="1" customWidth="1"/>
    <col min="2" max="7" width="5.46484375" style="86" bestFit="1" customWidth="1"/>
    <col min="8" max="11" width="5.06640625" style="86" bestFit="1" customWidth="1"/>
    <col min="12" max="14" width="5.1328125" style="86" bestFit="1" customWidth="1"/>
    <col min="15" max="15" width="4.6640625" style="86" bestFit="1" customWidth="1"/>
    <col min="16" max="16" width="5.3984375" style="86" bestFit="1" customWidth="1"/>
    <col min="17" max="17" width="12.86328125" style="86" bestFit="1" customWidth="1"/>
    <col min="18" max="29" width="11.46484375" style="86" bestFit="1" customWidth="1"/>
    <col min="30" max="31" width="7.6640625" style="86" bestFit="1" customWidth="1"/>
    <col min="32" max="32" width="7.46484375" style="86" bestFit="1" customWidth="1"/>
    <col min="33" max="16384" width="9.06640625" style="86"/>
  </cols>
  <sheetData>
    <row r="1" spans="1:31" ht="14.25" x14ac:dyDescent="0.4">
      <c r="A1" s="85" t="s">
        <v>294</v>
      </c>
      <c r="B1" s="166" t="s">
        <v>4</v>
      </c>
    </row>
    <row r="2" spans="1:31" ht="14.25" x14ac:dyDescent="0.4">
      <c r="A2" s="85" t="s">
        <v>295</v>
      </c>
      <c r="B2" s="166">
        <v>8192</v>
      </c>
    </row>
    <row r="3" spans="1:31" ht="14.25" x14ac:dyDescent="0.4">
      <c r="A3" s="85" t="s">
        <v>296</v>
      </c>
      <c r="B3" s="166" t="s">
        <v>5</v>
      </c>
      <c r="C3" s="166" t="s">
        <v>6</v>
      </c>
    </row>
    <row r="4" spans="1:31" ht="14.25" x14ac:dyDescent="0.4">
      <c r="A4" s="85" t="s">
        <v>295</v>
      </c>
      <c r="B4" s="166">
        <f>B2/2</f>
        <v>4096</v>
      </c>
      <c r="C4" s="166">
        <f>B2/2</f>
        <v>4096</v>
      </c>
    </row>
    <row r="5" spans="1:31" ht="14.25" x14ac:dyDescent="0.4">
      <c r="A5" s="85" t="s">
        <v>297</v>
      </c>
      <c r="B5" s="166" t="s">
        <v>7</v>
      </c>
      <c r="C5" s="166" t="s">
        <v>10</v>
      </c>
      <c r="D5" s="166" t="s">
        <v>13</v>
      </c>
    </row>
    <row r="6" spans="1:31" ht="14.25" x14ac:dyDescent="0.4">
      <c r="A6" s="85" t="s">
        <v>295</v>
      </c>
      <c r="B6" s="166">
        <f>B4/2</f>
        <v>2048</v>
      </c>
      <c r="C6" s="166">
        <f>B4/2+C4/2</f>
        <v>4096</v>
      </c>
      <c r="D6" s="166">
        <f>C4/2</f>
        <v>2048</v>
      </c>
    </row>
    <row r="7" spans="1:31" ht="14.25" x14ac:dyDescent="0.4">
      <c r="A7" s="85" t="s">
        <v>298</v>
      </c>
      <c r="B7" s="167" t="s">
        <v>9</v>
      </c>
      <c r="C7" s="166" t="s">
        <v>25</v>
      </c>
      <c r="D7" s="166" t="s">
        <v>27</v>
      </c>
      <c r="E7" s="166" t="s">
        <v>14</v>
      </c>
    </row>
    <row r="8" spans="1:31" ht="14.25" x14ac:dyDescent="0.4">
      <c r="A8" s="85" t="s">
        <v>295</v>
      </c>
      <c r="B8" s="167">
        <f>B6/2</f>
        <v>1024</v>
      </c>
      <c r="C8" s="166">
        <f>B6/2+C6/2</f>
        <v>3072</v>
      </c>
      <c r="D8" s="166">
        <f>C6/2+D6/2</f>
        <v>3072</v>
      </c>
      <c r="E8" s="166">
        <f>D6/2</f>
        <v>1024</v>
      </c>
      <c r="Q8" s="86" t="s">
        <v>299</v>
      </c>
      <c r="T8" s="86" t="s">
        <v>300</v>
      </c>
      <c r="X8" s="86" t="s">
        <v>301</v>
      </c>
    </row>
    <row r="9" spans="1:31" ht="14.65" thickBot="1" x14ac:dyDescent="0.45">
      <c r="B9" s="85" t="s">
        <v>302</v>
      </c>
      <c r="C9" s="167" t="s">
        <v>26</v>
      </c>
      <c r="D9" s="166" t="s">
        <v>11</v>
      </c>
      <c r="E9" s="166" t="s">
        <v>29</v>
      </c>
      <c r="F9" s="166" t="s">
        <v>15</v>
      </c>
      <c r="Q9" s="168">
        <f>SUM(Q12:S12)</f>
        <v>0.5</v>
      </c>
      <c r="T9" s="168">
        <f>SUM(T12:W12)</f>
        <v>0.41015625</v>
      </c>
      <c r="X9" s="168">
        <f>SUM(X12:AE12)</f>
        <v>8.984375E-2</v>
      </c>
    </row>
    <row r="10" spans="1:31" ht="14.65" thickBot="1" x14ac:dyDescent="0.45">
      <c r="B10" s="85" t="s">
        <v>295</v>
      </c>
      <c r="C10" s="167">
        <f>C8/2</f>
        <v>1536</v>
      </c>
      <c r="D10" s="166">
        <f>C8/2+D8/2</f>
        <v>3072</v>
      </c>
      <c r="E10" s="166">
        <f>D8/2+E8/2</f>
        <v>2048</v>
      </c>
      <c r="F10" s="166">
        <f>E8/2</f>
        <v>512</v>
      </c>
      <c r="O10" s="169"/>
      <c r="P10" s="88" t="s">
        <v>303</v>
      </c>
      <c r="Q10" s="170" t="s">
        <v>8</v>
      </c>
      <c r="R10" s="170" t="s">
        <v>26</v>
      </c>
      <c r="S10" s="170" t="s">
        <v>28</v>
      </c>
      <c r="T10" s="170" t="s">
        <v>12</v>
      </c>
      <c r="U10" s="170" t="s">
        <v>33</v>
      </c>
      <c r="V10" s="170" t="s">
        <v>36</v>
      </c>
      <c r="W10" s="170" t="s">
        <v>39</v>
      </c>
      <c r="X10" s="170" t="s">
        <v>42</v>
      </c>
      <c r="Y10" s="170" t="s">
        <v>45</v>
      </c>
      <c r="Z10" s="170" t="s">
        <v>48</v>
      </c>
      <c r="AA10" s="170" t="s">
        <v>51</v>
      </c>
      <c r="AB10" s="170" t="s">
        <v>53</v>
      </c>
      <c r="AC10" s="170" t="s">
        <v>2</v>
      </c>
      <c r="AD10" s="170" t="s">
        <v>1</v>
      </c>
      <c r="AE10" s="170" t="s">
        <v>0</v>
      </c>
    </row>
    <row r="11" spans="1:31" ht="15" thickTop="1" thickBot="1" x14ac:dyDescent="0.45">
      <c r="C11" s="85" t="s">
        <v>304</v>
      </c>
      <c r="D11" s="167" t="s">
        <v>28</v>
      </c>
      <c r="E11" s="166" t="s">
        <v>30</v>
      </c>
      <c r="F11" s="166" t="s">
        <v>31</v>
      </c>
      <c r="G11" s="166" t="s">
        <v>16</v>
      </c>
      <c r="O11" s="100" t="s">
        <v>305</v>
      </c>
      <c r="P11" s="100">
        <f>SUM(Q11:AE11)</f>
        <v>8192</v>
      </c>
      <c r="Q11" s="100">
        <v>1024</v>
      </c>
      <c r="R11" s="100">
        <v>1536</v>
      </c>
      <c r="S11" s="100">
        <v>1536</v>
      </c>
      <c r="T11" s="100">
        <v>1280</v>
      </c>
      <c r="U11" s="100">
        <v>960</v>
      </c>
      <c r="V11" s="100">
        <v>672</v>
      </c>
      <c r="W11" s="100">
        <v>448</v>
      </c>
      <c r="X11" s="100">
        <v>288</v>
      </c>
      <c r="Y11" s="100">
        <v>180</v>
      </c>
      <c r="Z11" s="100">
        <v>110</v>
      </c>
      <c r="AA11" s="100">
        <v>66</v>
      </c>
      <c r="AB11" s="100">
        <v>39</v>
      </c>
      <c r="AC11" s="100">
        <v>39</v>
      </c>
      <c r="AD11" s="100">
        <v>12</v>
      </c>
      <c r="AE11" s="100">
        <v>2</v>
      </c>
    </row>
    <row r="12" spans="1:31" ht="14.65" thickBot="1" x14ac:dyDescent="0.45">
      <c r="C12" s="85" t="s">
        <v>295</v>
      </c>
      <c r="D12" s="167">
        <f>D10/2</f>
        <v>1536</v>
      </c>
      <c r="E12" s="166">
        <f>D10/2+E10/2</f>
        <v>2560</v>
      </c>
      <c r="F12" s="166">
        <f>E10/2+F10/2</f>
        <v>1280</v>
      </c>
      <c r="G12" s="166">
        <f>F10/2</f>
        <v>256</v>
      </c>
      <c r="O12" s="171" t="s">
        <v>306</v>
      </c>
      <c r="P12" s="99">
        <f>SUM(Q12:AE12)</f>
        <v>1</v>
      </c>
      <c r="Q12" s="172">
        <f t="shared" ref="Q12:AE12" si="0">Q11/8192</f>
        <v>0.125</v>
      </c>
      <c r="R12" s="172">
        <f t="shared" si="0"/>
        <v>0.1875</v>
      </c>
      <c r="S12" s="172">
        <f t="shared" si="0"/>
        <v>0.1875</v>
      </c>
      <c r="T12" s="172">
        <f t="shared" si="0"/>
        <v>0.15625</v>
      </c>
      <c r="U12" s="172">
        <f t="shared" si="0"/>
        <v>0.1171875</v>
      </c>
      <c r="V12" s="172">
        <f t="shared" si="0"/>
        <v>8.203125E-2</v>
      </c>
      <c r="W12" s="172">
        <f t="shared" si="0"/>
        <v>5.46875E-2</v>
      </c>
      <c r="X12" s="172">
        <f t="shared" si="0"/>
        <v>3.515625E-2</v>
      </c>
      <c r="Y12" s="172">
        <f t="shared" si="0"/>
        <v>2.197265625E-2</v>
      </c>
      <c r="Z12" s="172">
        <f t="shared" si="0"/>
        <v>1.3427734375E-2</v>
      </c>
      <c r="AA12" s="172">
        <f t="shared" si="0"/>
        <v>8.056640625E-3</v>
      </c>
      <c r="AB12" s="172">
        <f t="shared" si="0"/>
        <v>4.7607421875E-3</v>
      </c>
      <c r="AC12" s="172">
        <f t="shared" si="0"/>
        <v>4.7607421875E-3</v>
      </c>
      <c r="AD12" s="172">
        <f t="shared" si="0"/>
        <v>1.46484375E-3</v>
      </c>
      <c r="AE12" s="172">
        <f t="shared" si="0"/>
        <v>2.44140625E-4</v>
      </c>
    </row>
    <row r="13" spans="1:31" ht="14.25" x14ac:dyDescent="0.4">
      <c r="D13" s="85" t="s">
        <v>307</v>
      </c>
      <c r="E13" s="167" t="s">
        <v>12</v>
      </c>
      <c r="F13" s="166" t="s">
        <v>32</v>
      </c>
      <c r="G13" s="166" t="s">
        <v>34</v>
      </c>
      <c r="H13" s="166" t="s">
        <v>17</v>
      </c>
      <c r="P13" s="86" t="s">
        <v>101</v>
      </c>
      <c r="Q13" s="86" t="s">
        <v>9</v>
      </c>
      <c r="R13" s="86" t="s">
        <v>26</v>
      </c>
      <c r="S13" s="86" t="s">
        <v>28</v>
      </c>
      <c r="T13" s="86" t="s">
        <v>12</v>
      </c>
      <c r="U13" s="86" t="s">
        <v>33</v>
      </c>
      <c r="V13" s="86" t="s">
        <v>36</v>
      </c>
      <c r="W13" s="86" t="s">
        <v>39</v>
      </c>
      <c r="X13" s="86" t="s">
        <v>42</v>
      </c>
      <c r="Y13" s="86" t="s">
        <v>45</v>
      </c>
      <c r="Z13" s="86" t="s">
        <v>48</v>
      </c>
      <c r="AA13" s="86" t="s">
        <v>51</v>
      </c>
      <c r="AB13" s="86" t="s">
        <v>53</v>
      </c>
      <c r="AC13" s="86" t="s">
        <v>2</v>
      </c>
      <c r="AD13" s="86" t="s">
        <v>23</v>
      </c>
      <c r="AE13" s="86" t="s">
        <v>0</v>
      </c>
    </row>
    <row r="14" spans="1:31" ht="14.25" x14ac:dyDescent="0.4">
      <c r="D14" s="85" t="s">
        <v>295</v>
      </c>
      <c r="E14" s="167">
        <f>E12/2</f>
        <v>1280</v>
      </c>
      <c r="F14" s="166">
        <f>E12/2+F12/2</f>
        <v>1920</v>
      </c>
      <c r="G14" s="166">
        <f>F12/2+G12/2</f>
        <v>768</v>
      </c>
      <c r="H14" s="166">
        <f>G12/2</f>
        <v>128</v>
      </c>
      <c r="P14" s="86" t="s">
        <v>308</v>
      </c>
      <c r="Q14" s="86" t="s">
        <v>102</v>
      </c>
      <c r="R14" s="86" t="s">
        <v>103</v>
      </c>
      <c r="S14" s="86" t="s">
        <v>104</v>
      </c>
      <c r="T14" s="86" t="s">
        <v>105</v>
      </c>
      <c r="U14" s="86" t="s">
        <v>106</v>
      </c>
      <c r="V14" s="86" t="s">
        <v>107</v>
      </c>
      <c r="W14" s="86" t="s">
        <v>108</v>
      </c>
      <c r="X14" s="86" t="s">
        <v>109</v>
      </c>
      <c r="Y14" s="86" t="s">
        <v>110</v>
      </c>
      <c r="Z14" s="86" t="s">
        <v>111</v>
      </c>
      <c r="AA14" s="86" t="s">
        <v>112</v>
      </c>
      <c r="AB14" s="86" t="s">
        <v>113</v>
      </c>
      <c r="AC14" s="86" t="s">
        <v>114</v>
      </c>
      <c r="AD14" s="86" t="s">
        <v>115</v>
      </c>
      <c r="AE14" s="86" t="s">
        <v>116</v>
      </c>
    </row>
    <row r="15" spans="1:31" ht="14.25" x14ac:dyDescent="0.4">
      <c r="E15" s="85" t="s">
        <v>309</v>
      </c>
      <c r="F15" s="167" t="s">
        <v>33</v>
      </c>
      <c r="G15" s="166" t="s">
        <v>35</v>
      </c>
      <c r="H15" s="166" t="s">
        <v>37</v>
      </c>
      <c r="I15" s="166" t="s">
        <v>18</v>
      </c>
    </row>
    <row r="16" spans="1:31" ht="14.25" x14ac:dyDescent="0.4">
      <c r="E16" s="85" t="s">
        <v>295</v>
      </c>
      <c r="F16" s="167">
        <f>F14/2</f>
        <v>960</v>
      </c>
      <c r="G16" s="166">
        <f>F14/2+G14/2</f>
        <v>1344</v>
      </c>
      <c r="H16" s="166">
        <f>G14/2+H14/2</f>
        <v>448</v>
      </c>
      <c r="I16" s="166">
        <f>H14/2</f>
        <v>64</v>
      </c>
    </row>
    <row r="17" spans="6:14" ht="14.25" x14ac:dyDescent="0.4">
      <c r="F17" s="85" t="s">
        <v>310</v>
      </c>
      <c r="G17" s="167" t="s">
        <v>36</v>
      </c>
      <c r="H17" s="166" t="s">
        <v>38</v>
      </c>
      <c r="I17" s="166" t="s">
        <v>40</v>
      </c>
      <c r="J17" s="166" t="s">
        <v>19</v>
      </c>
    </row>
    <row r="18" spans="6:14" ht="14.25" x14ac:dyDescent="0.4">
      <c r="F18" s="85" t="s">
        <v>295</v>
      </c>
      <c r="G18" s="167">
        <f>G16/2</f>
        <v>672</v>
      </c>
      <c r="H18" s="166">
        <f>G16/2+H16/2</f>
        <v>896</v>
      </c>
      <c r="I18" s="166">
        <f>H16/2+I16/2</f>
        <v>256</v>
      </c>
      <c r="J18" s="166">
        <f>I16/2</f>
        <v>32</v>
      </c>
    </row>
    <row r="19" spans="6:14" ht="14.25" x14ac:dyDescent="0.4">
      <c r="G19" s="85" t="s">
        <v>311</v>
      </c>
      <c r="H19" s="167" t="s">
        <v>39</v>
      </c>
      <c r="I19" s="166" t="s">
        <v>41</v>
      </c>
      <c r="J19" s="166" t="s">
        <v>43</v>
      </c>
      <c r="K19" s="166" t="s">
        <v>20</v>
      </c>
    </row>
    <row r="20" spans="6:14" ht="14.25" x14ac:dyDescent="0.4">
      <c r="G20" s="85" t="s">
        <v>295</v>
      </c>
      <c r="H20" s="167">
        <f>H18/2</f>
        <v>448</v>
      </c>
      <c r="I20" s="166">
        <f>H18/2+I18/2</f>
        <v>576</v>
      </c>
      <c r="J20" s="166">
        <f>I18/2+J18/2</f>
        <v>144</v>
      </c>
      <c r="K20" s="166">
        <f>J18/2</f>
        <v>16</v>
      </c>
    </row>
    <row r="21" spans="6:14" ht="14.25" x14ac:dyDescent="0.4">
      <c r="H21" s="85" t="s">
        <v>312</v>
      </c>
      <c r="I21" s="167" t="s">
        <v>42</v>
      </c>
      <c r="J21" s="166" t="s">
        <v>44</v>
      </c>
      <c r="K21" s="166" t="s">
        <v>46</v>
      </c>
      <c r="L21" s="166" t="s">
        <v>21</v>
      </c>
    </row>
    <row r="22" spans="6:14" ht="14.25" x14ac:dyDescent="0.4">
      <c r="H22" s="85" t="s">
        <v>295</v>
      </c>
      <c r="I22" s="167">
        <f>I20/2</f>
        <v>288</v>
      </c>
      <c r="J22" s="166">
        <f>I20/2+J20/2</f>
        <v>360</v>
      </c>
      <c r="K22" s="166">
        <f>J20/2+K20/2</f>
        <v>80</v>
      </c>
      <c r="L22" s="166">
        <f>K20/2</f>
        <v>8</v>
      </c>
    </row>
    <row r="23" spans="6:14" ht="14.25" x14ac:dyDescent="0.4">
      <c r="I23" s="85" t="s">
        <v>313</v>
      </c>
      <c r="J23" s="167" t="s">
        <v>45</v>
      </c>
      <c r="K23" s="166" t="s">
        <v>47</v>
      </c>
      <c r="L23" s="166" t="s">
        <v>49</v>
      </c>
      <c r="M23" s="166" t="s">
        <v>22</v>
      </c>
    </row>
    <row r="24" spans="6:14" ht="14.25" x14ac:dyDescent="0.4">
      <c r="I24" s="85" t="s">
        <v>295</v>
      </c>
      <c r="J24" s="167">
        <f>J22/2</f>
        <v>180</v>
      </c>
      <c r="K24" s="166">
        <f>J22/2+K22/2</f>
        <v>220</v>
      </c>
      <c r="L24" s="166">
        <f>K22/2+L22/2</f>
        <v>44</v>
      </c>
      <c r="M24" s="166">
        <f>L22/2</f>
        <v>4</v>
      </c>
    </row>
    <row r="25" spans="6:14" ht="14.25" x14ac:dyDescent="0.4">
      <c r="J25" s="85" t="s">
        <v>314</v>
      </c>
      <c r="K25" s="167" t="s">
        <v>48</v>
      </c>
      <c r="L25" s="166" t="s">
        <v>50</v>
      </c>
      <c r="M25" s="166" t="s">
        <v>24</v>
      </c>
      <c r="N25" s="167" t="s">
        <v>23</v>
      </c>
    </row>
    <row r="26" spans="6:14" ht="14.25" x14ac:dyDescent="0.4">
      <c r="J26" s="85" t="s">
        <v>295</v>
      </c>
      <c r="K26" s="167">
        <f>K24/2</f>
        <v>110</v>
      </c>
      <c r="L26" s="166">
        <f>K24/2+L24/2</f>
        <v>132</v>
      </c>
      <c r="M26" s="166">
        <f>L24/2+M24/2</f>
        <v>24</v>
      </c>
      <c r="N26" s="167">
        <f>M24/2</f>
        <v>2</v>
      </c>
    </row>
    <row r="27" spans="6:14" ht="14.25" x14ac:dyDescent="0.4">
      <c r="K27" s="85" t="s">
        <v>315</v>
      </c>
      <c r="L27" s="167" t="s">
        <v>51</v>
      </c>
      <c r="M27" s="166" t="s">
        <v>52</v>
      </c>
      <c r="N27" s="167" t="s">
        <v>1</v>
      </c>
    </row>
    <row r="28" spans="6:14" ht="14.25" x14ac:dyDescent="0.4">
      <c r="K28" s="85" t="s">
        <v>295</v>
      </c>
      <c r="L28" s="167">
        <f>L26/2</f>
        <v>66</v>
      </c>
      <c r="M28" s="166">
        <f>L26/2+M26/2</f>
        <v>78</v>
      </c>
      <c r="N28" s="167">
        <f>M26/2</f>
        <v>12</v>
      </c>
    </row>
    <row r="29" spans="6:14" ht="14.25" x14ac:dyDescent="0.4">
      <c r="L29" s="85" t="s">
        <v>316</v>
      </c>
      <c r="M29" s="167" t="s">
        <v>53</v>
      </c>
      <c r="N29" s="167" t="s">
        <v>2</v>
      </c>
    </row>
    <row r="30" spans="6:14" ht="14.25" x14ac:dyDescent="0.4">
      <c r="L30" s="85" t="s">
        <v>295</v>
      </c>
      <c r="M30" s="167">
        <f>M28/2</f>
        <v>39</v>
      </c>
      <c r="N30" s="167">
        <f>M28/2</f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奥术之尘模型</vt:lpstr>
      <vt:lpstr>胜率收益率与金回收率总</vt:lpstr>
      <vt:lpstr>金币回收率总</vt:lpstr>
      <vt:lpstr>收益率与金回收率分</vt:lpstr>
      <vt:lpstr>金币回收率分</vt:lpstr>
      <vt:lpstr>胜率期望大奖</vt:lpstr>
      <vt:lpstr>地下竞技场33.0</vt:lpstr>
      <vt:lpstr>地下竞技场32.4</vt:lpstr>
      <vt:lpstr>经典竞技场</vt:lpstr>
      <vt:lpstr>英雄乱斗</vt:lpstr>
      <vt:lpstr>分布50%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胡佳旭</dc:creator>
  <cp:lastModifiedBy>佳旭 胡</cp:lastModifiedBy>
  <dcterms:created xsi:type="dcterms:W3CDTF">2015-06-05T18:19:34Z</dcterms:created>
  <dcterms:modified xsi:type="dcterms:W3CDTF">2025-11-10T10:23:22Z</dcterms:modified>
</cp:coreProperties>
</file>